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Flowbit\DEX v2.0.1\Master\"/>
    </mc:Choice>
  </mc:AlternateContent>
  <xr:revisionPtr revIDLastSave="0" documentId="13_ncr:1_{A484E7B4-D8EA-48A4-8523-4C166D4B3E1E}" xr6:coauthVersionLast="47" xr6:coauthVersionMax="47" xr10:uidLastSave="{00000000-0000-0000-0000-000000000000}"/>
  <bookViews>
    <workbookView xWindow="-110" yWindow="-110" windowWidth="19420" windowHeight="10300" activeTab="3" xr2:uid="{2A27DFF0-1BDB-46C7-8D34-C6B2AB0C8283}"/>
  </bookViews>
  <sheets>
    <sheet name="KODE" sheetId="1" r:id="rId1"/>
    <sheet name="KODE_RESTO" sheetId="3" r:id="rId2"/>
    <sheet name="RESTO" sheetId="2" r:id="rId3"/>
    <sheet name="EXCLUDE" sheetId="4" r:id="rId4"/>
  </sheets>
  <definedNames>
    <definedName name="_xlnm._FilterDatabase" localSheetId="3" hidden="1">EXCLUDE!$A$1:$C$1</definedName>
    <definedName name="_xlnm._FilterDatabase" localSheetId="2" hidden="1">RESTO!$A$1:$F$126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9" i="2" l="1"/>
  <c r="A117" i="2" l="1"/>
  <c r="A83" i="2"/>
  <c r="A84" i="2" s="1"/>
  <c r="A85" i="2" s="1"/>
  <c r="A86" i="2" s="1"/>
  <c r="A87" i="2" s="1"/>
  <c r="A89" i="2"/>
  <c r="A90" i="2" s="1"/>
  <c r="A91" i="2" s="1"/>
  <c r="A92" i="2" s="1"/>
  <c r="A93" i="2" s="1"/>
  <c r="A95" i="2"/>
  <c r="A96" i="2" s="1"/>
  <c r="A97" i="2" s="1"/>
  <c r="A98" i="2" s="1"/>
  <c r="A99" i="2" s="1"/>
  <c r="A101" i="2"/>
  <c r="A102" i="2" s="1"/>
  <c r="A103" i="2" s="1"/>
  <c r="A104" i="2" s="1"/>
  <c r="A105" i="2" s="1"/>
  <c r="A107" i="2"/>
  <c r="A108" i="2" s="1"/>
  <c r="A109" i="2" s="1"/>
  <c r="A110" i="2" s="1"/>
  <c r="A111" i="2" s="1"/>
  <c r="A113" i="2"/>
  <c r="A114" i="2" s="1"/>
  <c r="A115" i="2" s="1"/>
  <c r="F65" i="2"/>
  <c r="F66" i="2"/>
  <c r="F67" i="2"/>
  <c r="F68" i="2"/>
  <c r="F69" i="2"/>
  <c r="F64" i="2"/>
  <c r="A64" i="2"/>
  <c r="C54" i="2"/>
  <c r="C55" i="2"/>
  <c r="C56" i="2"/>
  <c r="C57" i="2"/>
  <c r="C58" i="2"/>
  <c r="C59" i="2"/>
  <c r="C60" i="2"/>
  <c r="C61" i="2"/>
  <c r="C62" i="2"/>
  <c r="C63" i="2"/>
  <c r="C5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65" i="2" l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</calcChain>
</file>

<file path=xl/sharedStrings.xml><?xml version="1.0" encoding="utf-8"?>
<sst xmlns="http://schemas.openxmlformats.org/spreadsheetml/2006/main" count="497" uniqueCount="373">
  <si>
    <t>NO</t>
  </si>
  <si>
    <t>AREA</t>
  </si>
  <si>
    <t>KODE RESTO</t>
  </si>
  <si>
    <t>STORE</t>
  </si>
  <si>
    <t>JAWA BARAT 1</t>
  </si>
  <si>
    <t>MJLABD</t>
  </si>
  <si>
    <t>1192.1-G.Majalengka - Kh. Abdul Halim (MJLABD)</t>
  </si>
  <si>
    <t>JAWA BARAT 2</t>
  </si>
  <si>
    <t>CKRTHA</t>
  </si>
  <si>
    <t>1060.1-G.Bekasi - M.H. Thamrin (CKRTHA)</t>
  </si>
  <si>
    <t>CKRTAR</t>
  </si>
  <si>
    <t>1129.1-G.Bekasi - Tarum Barat (CKRTAR)</t>
  </si>
  <si>
    <t>CKRMAR</t>
  </si>
  <si>
    <t>1239.1-G.Bekasi - R.E. Martadinata (CKRMAR)</t>
  </si>
  <si>
    <t>CKRSUK</t>
  </si>
  <si>
    <t>1251.1-G.Bekasi - Sukatani (CKRSUK)</t>
  </si>
  <si>
    <t>CKRHAR</t>
  </si>
  <si>
    <t>1277.1-G.Bekasi - Harapan Indah (CKRHAR)</t>
  </si>
  <si>
    <t>CKRCIK</t>
  </si>
  <si>
    <t>1284.1-G.Bekasi - KP Cikoronjo (CKRCIK)</t>
  </si>
  <si>
    <t>CKRBUL</t>
  </si>
  <si>
    <t>1294.1-G.Bekasi - KP Bulu (CKRBUL)</t>
  </si>
  <si>
    <t>CKRBOS</t>
  </si>
  <si>
    <t>1327.1-G.Bekasi - Bosih Raya (CKRBOS)</t>
  </si>
  <si>
    <t>CKRBAB</t>
  </si>
  <si>
    <t>1343.1-G.Bekasi - Raya Babelan (CKRBAB)</t>
  </si>
  <si>
    <t>KWGGAL</t>
  </si>
  <si>
    <t>1042.1-G.Karawang - Galuh Mas Raya (KWGGAL)</t>
  </si>
  <si>
    <t>KWGTUP</t>
  </si>
  <si>
    <t>1134.1-G.Karawang - Tuparev (KWGTUP)</t>
  </si>
  <si>
    <t>KWGTEL</t>
  </si>
  <si>
    <t>1211.1-G.Karawang - Raya Telagasari (KWGTEL)</t>
  </si>
  <si>
    <t>KWGCIL</t>
  </si>
  <si>
    <t>1337.1-G.Karawang - Raya Cilamaya (KWGCIL)</t>
  </si>
  <si>
    <t>KWGAHM</t>
  </si>
  <si>
    <t>1094.1-G.Karawang - Jendral Ahmad Yani (KWGAHM)</t>
  </si>
  <si>
    <t>BKSJUA</t>
  </si>
  <si>
    <t>1059.1-G.Bekasi - Juanda (BKSJUA)</t>
  </si>
  <si>
    <t>BKSJAT</t>
  </si>
  <si>
    <t>1062.1-G.Bekasi - Raya Jatiwaringin (BKSJAT)</t>
  </si>
  <si>
    <t>BKSBIN</t>
  </si>
  <si>
    <t>BKSGOL</t>
  </si>
  <si>
    <t>1084.1-G.Bekasi - Perum Golden City (BKSGOL)</t>
  </si>
  <si>
    <t>BKSBAN</t>
  </si>
  <si>
    <t>1109.1-G.Bekasi - Bantar Gebang Setu (BKSBAN)</t>
  </si>
  <si>
    <t>BKSWIB</t>
  </si>
  <si>
    <t>1108.1-G.Bekasi - Wibawa Mukti (BKSWIB)</t>
  </si>
  <si>
    <t>BKSALT</t>
  </si>
  <si>
    <t>1140.1-G.Bekasi - Alternatif Cibubur (BKSALT)</t>
  </si>
  <si>
    <t>BKSMUT</t>
  </si>
  <si>
    <t>1205.1-G.Bekasi - Cut Mutia (BKSMUT)</t>
  </si>
  <si>
    <t>BKSPEK</t>
  </si>
  <si>
    <t>1214.1-G.Bekasi - Raya Pekayon (BKSPEK)</t>
  </si>
  <si>
    <t>BKSSUD</t>
  </si>
  <si>
    <t>1233.1-G.Bekasi - Jendral Sudirman (BKSSUD)</t>
  </si>
  <si>
    <t>BKSJAI</t>
  </si>
  <si>
    <t>1189.1-G.Bekasi - Raya Jatikramat (BKSJAI)</t>
  </si>
  <si>
    <t>BKSHAN</t>
  </si>
  <si>
    <t>1254.1-G.Bekasi - Raya Hankam 2 (BKSHAN)</t>
  </si>
  <si>
    <t>BKSNAR</t>
  </si>
  <si>
    <t>1309.1-G.Bekasi - Raya Narogong (BKSNAR)</t>
  </si>
  <si>
    <t>JAKARTA</t>
  </si>
  <si>
    <t>CKGBOU</t>
  </si>
  <si>
    <t>1097.1-G.Jaktim - Boulevard Garden City (CKGBOU)</t>
  </si>
  <si>
    <t>CKGPAH</t>
  </si>
  <si>
    <t>1137.1-G.Jaktim - Pahlawan Revolusi (CKGPAH)</t>
  </si>
  <si>
    <t>CKGINT</t>
  </si>
  <si>
    <t>1160.1-G.Jaktim - Raden Intan (CKGINT)</t>
  </si>
  <si>
    <t>CKGBIN</t>
  </si>
  <si>
    <t>1145.1-G.Jaktim - Bina Marga (CKGBIN)</t>
  </si>
  <si>
    <t>CKGPUL</t>
  </si>
  <si>
    <t>1226.1-G.Jaktim - Raya Pulo Gebang (CKGPUL)</t>
  </si>
  <si>
    <t>CKGCON</t>
  </si>
  <si>
    <t>1243.1-G.Jaktim - Raya Condet (CKGCON)</t>
  </si>
  <si>
    <t>KYBAMP</t>
  </si>
  <si>
    <t>1172.1-G.Jaksel - Ampera Raya (KYBAMP)</t>
  </si>
  <si>
    <t>KYBCIL</t>
  </si>
  <si>
    <t>1182.1-G.Jaksel - Raya Cilandak (KYBCIL)</t>
  </si>
  <si>
    <t>KYBFAT</t>
  </si>
  <si>
    <t>1159.1-G.Jaksel - Fatmawati Raya (KYBFAT)</t>
  </si>
  <si>
    <t>KYBKEM</t>
  </si>
  <si>
    <t>1165.1-G.Jaksel - Kemang Raya (KYBKEM)</t>
  </si>
  <si>
    <t>KYBKES</t>
  </si>
  <si>
    <t>1080.1-G.Jaksel - Kesehatan Raya (KYBKES)</t>
  </si>
  <si>
    <t>KYBLEN</t>
  </si>
  <si>
    <t>1161.1-G.Jaksel - Lenteng Agung (KYBLEN)</t>
  </si>
  <si>
    <t>KYBTEB</t>
  </si>
  <si>
    <t>1056.1-G.Jaksel - Tebet (KYBTEB)</t>
  </si>
  <si>
    <t>TNABEN</t>
  </si>
  <si>
    <t>1204.1-G.Jakpus - Bendungan Hilir (TNABEN)</t>
  </si>
  <si>
    <t>TNACEM</t>
  </si>
  <si>
    <t>1152.1-G.Jakpus - Cempaka Putih Timur (TNACEM)</t>
  </si>
  <si>
    <t>TNAMAN</t>
  </si>
  <si>
    <t>1164.1-G.Jakpus - Raya Mangga Besar (TNAMAN)</t>
  </si>
  <si>
    <t>TNAPRO</t>
  </si>
  <si>
    <t>1221.1-G.Jakpus - Proklamasi (TNAPRO)</t>
  </si>
  <si>
    <t>TNATUB</t>
  </si>
  <si>
    <t>1296.1-G.Jakpus - Aipda KS Tubun (TNATUB)</t>
  </si>
  <si>
    <t>TJPBOU</t>
  </si>
  <si>
    <t>1238.1-G.Jakut - Boulevard Raya (TJPBOU)</t>
  </si>
  <si>
    <t>TJPDAN</t>
  </si>
  <si>
    <t>1127.1-G.Jakut - Danau Sunter Utara (TJPDAN)</t>
  </si>
  <si>
    <t>TJPGUN</t>
  </si>
  <si>
    <t>1175.1-G.Jakut - Gunung Sahari Raya (TJPGUN)</t>
  </si>
  <si>
    <t>TJPPLU</t>
  </si>
  <si>
    <t>1357.1-G.Jakut - Plumpang Semper Raya (TJPPLU)</t>
  </si>
  <si>
    <t>1192.MJLABD</t>
  </si>
  <si>
    <t>1060.CKRTHA</t>
  </si>
  <si>
    <t>1129.CKRTAR</t>
  </si>
  <si>
    <t>1239.CKRMAR</t>
  </si>
  <si>
    <t>1251.CKRSUK</t>
  </si>
  <si>
    <t>1277.CKRHAR</t>
  </si>
  <si>
    <t>1284.CKRCIK</t>
  </si>
  <si>
    <t>1294.CKRBUL</t>
  </si>
  <si>
    <t>1327.CKRBOS</t>
  </si>
  <si>
    <t>1343.CKRBAB</t>
  </si>
  <si>
    <t>1042.KWGGAL</t>
  </si>
  <si>
    <t>1134.KWGTUP</t>
  </si>
  <si>
    <t>1211.KWGTEL</t>
  </si>
  <si>
    <t>1337.KWGCIL</t>
  </si>
  <si>
    <t>1094.KWGAHM</t>
  </si>
  <si>
    <t>1059.BKSJUA</t>
  </si>
  <si>
    <t>1062.BKSJAT</t>
  </si>
  <si>
    <t>1072.BKSBIN</t>
  </si>
  <si>
    <t>1084.BKSGOL</t>
  </si>
  <si>
    <t>1109.BKSBAN</t>
  </si>
  <si>
    <t>1108.BKSWIB</t>
  </si>
  <si>
    <t>1140.BKSALT</t>
  </si>
  <si>
    <t>1205.BKSMUT</t>
  </si>
  <si>
    <t>1214.BKSPEK</t>
  </si>
  <si>
    <t>1233.BKSSUD</t>
  </si>
  <si>
    <t>1189.BKSJAI</t>
  </si>
  <si>
    <t>1254.BKSHAN</t>
  </si>
  <si>
    <t>1309.BKSNAR</t>
  </si>
  <si>
    <t>1097.CKGBOU</t>
  </si>
  <si>
    <t>1137.CKGPAH</t>
  </si>
  <si>
    <t>1160.CKGINT</t>
  </si>
  <si>
    <t>1145.CKGBIN</t>
  </si>
  <si>
    <t>1226.CKGPUL</t>
  </si>
  <si>
    <t>1243.CKGCON</t>
  </si>
  <si>
    <t>1172.KYBAMP</t>
  </si>
  <si>
    <t>1182.KYBCIL</t>
  </si>
  <si>
    <t>1159.KYBFAT</t>
  </si>
  <si>
    <t>1165.KYBKEM</t>
  </si>
  <si>
    <t>1080.KYBKES</t>
  </si>
  <si>
    <t>1161.KYBLEN</t>
  </si>
  <si>
    <t>1056.KYBTEB</t>
  </si>
  <si>
    <t>1204.TNABEN</t>
  </si>
  <si>
    <t>1152.TNACEM</t>
  </si>
  <si>
    <t>1164.TNAMAN</t>
  </si>
  <si>
    <t>1221.TNAPRO</t>
  </si>
  <si>
    <t>1296.TNATUB</t>
  </si>
  <si>
    <t>1238.TJPBOU</t>
  </si>
  <si>
    <t>1127.TJPDAN</t>
  </si>
  <si>
    <t>1175.TJPGUN</t>
  </si>
  <si>
    <t>1357.TJPPLU</t>
  </si>
  <si>
    <t>Menu Code</t>
  </si>
  <si>
    <t>Menu Code New</t>
  </si>
  <si>
    <t>Branch</t>
  </si>
  <si>
    <t>TNAKRA</t>
  </si>
  <si>
    <t>1373.1-G.Jakpus - Kramat Raya (TNAKRA)</t>
  </si>
  <si>
    <t>1373.TNAKRA</t>
  </si>
  <si>
    <t>1151.GGPDAA</t>
  </si>
  <si>
    <t>1166.GGPPAN</t>
  </si>
  <si>
    <t>1213.GGPJAT</t>
  </si>
  <si>
    <t>1267.GGPPET</t>
  </si>
  <si>
    <t>1368.GGPJOG</t>
  </si>
  <si>
    <t>1049.DPKMAR</t>
  </si>
  <si>
    <t>1073.DPKJAS</t>
  </si>
  <si>
    <t>1092.DPKSAW</t>
  </si>
  <si>
    <t>1104.DPKBOJ</t>
  </si>
  <si>
    <t>1155.DPKPAR</t>
  </si>
  <si>
    <t>1345.DPKLIM</t>
  </si>
  <si>
    <t>1049.1-G.Depok - Margonda (DPKMAR)</t>
  </si>
  <si>
    <t>1073.1-G.Depok - Komjen Pol Jasin (DPKJAS)</t>
  </si>
  <si>
    <t>1092.1-G.Depok - Raya Sawangan (DPKSAW)</t>
  </si>
  <si>
    <t>1104.1-G.Depok - Raya Bojongsari (DPKBOJ)</t>
  </si>
  <si>
    <t>1151.1-G.Jakbar - Raya Daan Mogot (GGPDAA)</t>
  </si>
  <si>
    <t>1155.1-G.Depok - Raya Parung (DPKPAR)</t>
  </si>
  <si>
    <t>1166.1-G.Jakbar - Panjang (GGPPAN)</t>
  </si>
  <si>
    <t>1213.1-G.Jakbar - Tomang Kel. Jatipulo (GGPJAT)</t>
  </si>
  <si>
    <t>1267.1-G.Jakbar - Peta Utara (GGPPET)</t>
  </si>
  <si>
    <t>1345.1-G.Depok - Limo Raya (DPKLIM)</t>
  </si>
  <si>
    <t>1368.1-G.Jakbar - Joglo Raya (GGPJOG)</t>
  </si>
  <si>
    <t>START COVER</t>
  </si>
  <si>
    <t>BGRPAD</t>
  </si>
  <si>
    <t>1053.1-G.Bogor - Raya Padjajaran (BGRPAD)</t>
  </si>
  <si>
    <t>BGRTAJ</t>
  </si>
  <si>
    <t>1074.1-G.Bogor - Raya Tajur (BGRTAJ)</t>
  </si>
  <si>
    <t>BGRSAP</t>
  </si>
  <si>
    <t>1079.1-G.Bogor - Saptadji Hadiprawira (BGRSAP)</t>
  </si>
  <si>
    <t>BGRABD</t>
  </si>
  <si>
    <t>1100.1-G.Bogor - R.E. Abdullah (BGRABD)</t>
  </si>
  <si>
    <t>BGRSHO</t>
  </si>
  <si>
    <t>1112.1-G.Bogor - Sholeh Iskandar (BGRSHO)</t>
  </si>
  <si>
    <t>BGRBAT</t>
  </si>
  <si>
    <t>1190.1-G.Bogor - Batu Tulis (BGRBAT)</t>
  </si>
  <si>
    <t>CBITEG</t>
  </si>
  <si>
    <t>1117.1-G.Bogor - Tegar Beriman (CBITEG)</t>
  </si>
  <si>
    <t>CBICIB</t>
  </si>
  <si>
    <t>1128.1-G.Bogor - Raya Cibungbulang (CBICIB)</t>
  </si>
  <si>
    <t>CBIMAY</t>
  </si>
  <si>
    <t>1156.1-G.Bogor - Raya Mayor Oking (CBIMAY)</t>
  </si>
  <si>
    <t>CBICIL</t>
  </si>
  <si>
    <t>1203.1-G.Bogor - Raya Cileungsi (CBICIL)</t>
  </si>
  <si>
    <t>CBIPUN</t>
  </si>
  <si>
    <t>1228.1-G.Bogor - Raya Puncak Gadog (CBIPUN)</t>
  </si>
  <si>
    <t>CBIBOG</t>
  </si>
  <si>
    <t>1245.1-G.Bogor - Raya Bogor (CBIBOG)</t>
  </si>
  <si>
    <t>CBIPAB</t>
  </si>
  <si>
    <t>1249.1-G.Bogor - KP Pabuaran (CBIPAB)</t>
  </si>
  <si>
    <t>CBIKAB</t>
  </si>
  <si>
    <t>1285.1-G.Bogor - KP Kabasiran (CBIKAB)</t>
  </si>
  <si>
    <t>CBIWAR</t>
  </si>
  <si>
    <t>1287.1-G.Bogor - KP Warnasari Barat (CBIWAR)</t>
  </si>
  <si>
    <t>CBIBOJ</t>
  </si>
  <si>
    <t>1344.1-G.Bogor - Bojong Gede (CBIBOJ)</t>
  </si>
  <si>
    <t>BANTEN</t>
  </si>
  <si>
    <t>CPTPUS</t>
  </si>
  <si>
    <t>1081.1-G.Tangsel - Raya Puspitek (CPTPUS)</t>
  </si>
  <si>
    <t>CPTCIA</t>
  </si>
  <si>
    <t>1090.1-G.Tangsel - Ciater Raya (CPTCIA)</t>
  </si>
  <si>
    <t>1117.CBITEG</t>
  </si>
  <si>
    <t>1128.CBICIB</t>
  </si>
  <si>
    <t>1156.CBIMAY</t>
  </si>
  <si>
    <t>1203.CBICIL</t>
  </si>
  <si>
    <t>1228.CBIPUN</t>
  </si>
  <si>
    <t>1245.CBIBOG</t>
  </si>
  <si>
    <t>1249.CBIPAB</t>
  </si>
  <si>
    <t>1285.CBIKAB</t>
  </si>
  <si>
    <t>1287.CBIWAR</t>
  </si>
  <si>
    <t>1344.CBIBOJ</t>
  </si>
  <si>
    <t>1081.CPTPUS</t>
  </si>
  <si>
    <t>1090.CPTCIA</t>
  </si>
  <si>
    <t>1209.MLGSOE</t>
  </si>
  <si>
    <t>TGRPEM</t>
  </si>
  <si>
    <t>1376.1-G.Tangerang - Pemda (TGRPEM)</t>
  </si>
  <si>
    <t>1376.TGRPEM</t>
  </si>
  <si>
    <t>1072.1-G.Bekasi - Bintara (BKSBIN)</t>
  </si>
  <si>
    <t>CPTALA</t>
  </si>
  <si>
    <t>1130.1-G.Tangsel - Alam Sutera (CPTALA)</t>
  </si>
  <si>
    <t>CPTCIP</t>
  </si>
  <si>
    <t>1138.1-G.Tangsel - Ciputat Jombang (CPTCIP)</t>
  </si>
  <si>
    <t>CPTJUA</t>
  </si>
  <si>
    <t>1146.1-G.Tangsel - Dr Ir H. Juanda (CPTJUA)</t>
  </si>
  <si>
    <t>CPTPON</t>
  </si>
  <si>
    <t>1167.1-G.Tangsel - Pondok Betung Raya (CPTPON)</t>
  </si>
  <si>
    <t>CPTDON</t>
  </si>
  <si>
    <t>1207.1-G.Tangsel - KP Dongkal (CPTDON)</t>
  </si>
  <si>
    <t>CPTSET</t>
  </si>
  <si>
    <t>1219.1-G.Tangsel - Dr Setiabudi (CPTSET)</t>
  </si>
  <si>
    <t>CPTSOE</t>
  </si>
  <si>
    <t>1227.1-G.Tangsel - Kapten Soebijanto (CPTSOE)</t>
  </si>
  <si>
    <t>TNGCIL</t>
  </si>
  <si>
    <t>1063.1-G.Tangerang - Ciledug Raya (TNGCIL)</t>
  </si>
  <si>
    <t>TNGHAS</t>
  </si>
  <si>
    <t>1095.1-G.Tangerang - K.H. Hasyim Ashari (TNGHAS)</t>
  </si>
  <si>
    <t>TNGSAL</t>
  </si>
  <si>
    <t>1139.1-G.Tangerang - Raden Saleh (TNGSAL)</t>
  </si>
  <si>
    <t>TNGMER</t>
  </si>
  <si>
    <t>1186.1-G.Tangerang - Merdeka (TNGMER)</t>
  </si>
  <si>
    <t>TNGHUS</t>
  </si>
  <si>
    <t>1202.1-G.Tangerang - Husein Sastranegara (TNGHUS)</t>
  </si>
  <si>
    <t>TNGPET</t>
  </si>
  <si>
    <t>1282.1-G.Tangerang - DS Petir (TNGPET)</t>
  </si>
  <si>
    <t>TNGKEB</t>
  </si>
  <si>
    <t>1329.1-G.Tangerang - Kebon Cau (TNGKEB)</t>
  </si>
  <si>
    <t>TGRHAR</t>
  </si>
  <si>
    <t>1154.1-G.Tangerang - Harpa Utara (TGRHAR)</t>
  </si>
  <si>
    <t>TGRKUT</t>
  </si>
  <si>
    <t>1177.1-G.Tangerang - Raya Kutabumi (TGRKUT)</t>
  </si>
  <si>
    <t>TGRBIN</t>
  </si>
  <si>
    <t>1220.1-G.Tangerang - Raya Binong (TGRBIN)</t>
  </si>
  <si>
    <t>TGRSIM</t>
  </si>
  <si>
    <t>1223.1-G.Tangerang - Simpang Bitung (TGRSIM)</t>
  </si>
  <si>
    <t>TGRKAM</t>
  </si>
  <si>
    <t>1263.1-G.Tangerang - Raya Kampung Melayu (TGRKAM)</t>
  </si>
  <si>
    <t>TGRGEL</t>
  </si>
  <si>
    <t>1276.1-G.Tangerang - KP Gelam Kulon (TGRGEL)</t>
  </si>
  <si>
    <t>TGRSER</t>
  </si>
  <si>
    <t>1302.1-G.Tangerang - Raya Serang (TGRSER)</t>
  </si>
  <si>
    <t>TGRBAL</t>
  </si>
  <si>
    <t>1326.1-G.Tangerang - Balaraja (TGRBAL)</t>
  </si>
  <si>
    <t>TGRMAU</t>
  </si>
  <si>
    <t>1350.1-G.Tangerang - Raya Mauk (TGRMAU)</t>
  </si>
  <si>
    <t>SRGSUD</t>
  </si>
  <si>
    <t>1217.1-G.Serang - Jend. Sudirman (SRGSUD)</t>
  </si>
  <si>
    <t>SRGSAY</t>
  </si>
  <si>
    <t>1321.1-G.Serang - Kp. Sayabulu (SRGSAY)</t>
  </si>
  <si>
    <t>SRGSER</t>
  </si>
  <si>
    <t>1331.1-G.Serang - Raya Serang Jakarta (SRGSER)</t>
  </si>
  <si>
    <t>SRGPAR</t>
  </si>
  <si>
    <t>1355.1-G.Serang - Parigi (SRGPAR)</t>
  </si>
  <si>
    <t>PDGKAD</t>
  </si>
  <si>
    <t>1295.1-G.Pandeglang - Kadumerak (PDGKAD)</t>
  </si>
  <si>
    <t>RKBPAN</t>
  </si>
  <si>
    <t>1304.1-G.Lebak - Raya Pandeglang (RKBPAN)</t>
  </si>
  <si>
    <t>CLGSER</t>
  </si>
  <si>
    <t>1346.1-G.Cilegon - Raya Serang Cilegon (CLGSER)</t>
  </si>
  <si>
    <t>SBRTUP</t>
  </si>
  <si>
    <t>1187.1-G.Cirebon - Tuparev (SBRTUP)</t>
  </si>
  <si>
    <t>CBNPEM</t>
  </si>
  <si>
    <t>1085.1-G.Cirebon - Pemuda Raya (CBNPEM)</t>
  </si>
  <si>
    <t>KNGARU</t>
  </si>
  <si>
    <t>1283.1-G.Kuningan - Aruji Kartawinata (KNGARU)</t>
  </si>
  <si>
    <t>1130.CPTALA</t>
  </si>
  <si>
    <t>1138.CPTCIP</t>
  </si>
  <si>
    <t>1146.CPTJUA</t>
  </si>
  <si>
    <t>1167.CPTPON</t>
  </si>
  <si>
    <t>1207.CPTDON</t>
  </si>
  <si>
    <t>1219.CPTSET</t>
  </si>
  <si>
    <t>1227.CPTSOE</t>
  </si>
  <si>
    <t>1063.TNGCIL</t>
  </si>
  <si>
    <t>1095.TNGHAS</t>
  </si>
  <si>
    <t>1139.TNGSAL</t>
  </si>
  <si>
    <t>1186.TNGMER</t>
  </si>
  <si>
    <t>1202.TNGHUS</t>
  </si>
  <si>
    <t>1282.TNGPET</t>
  </si>
  <si>
    <t>1329.TNGKEB</t>
  </si>
  <si>
    <t>1154.TGRHAR</t>
  </si>
  <si>
    <t>1177.TGRKUT</t>
  </si>
  <si>
    <t>1220.TGRBIN</t>
  </si>
  <si>
    <t>1223.TGRSIM</t>
  </si>
  <si>
    <t>1263.TGRKAM</t>
  </si>
  <si>
    <t>1276.TGRGEL</t>
  </si>
  <si>
    <t>1302.TGRSER</t>
  </si>
  <si>
    <t>1326.TGRBAL</t>
  </si>
  <si>
    <t>1350.TGRMAU</t>
  </si>
  <si>
    <t>1217.SRGSUD</t>
  </si>
  <si>
    <t>1321.SRGSAY</t>
  </si>
  <si>
    <t>1331.SRGSER</t>
  </si>
  <si>
    <t>1355.SRGPAR</t>
  </si>
  <si>
    <t>1295.PDGKAD</t>
  </si>
  <si>
    <t>1304.RKBPAN</t>
  </si>
  <si>
    <t>1346.CLGSER</t>
  </si>
  <si>
    <t>1187.SBRTUP</t>
  </si>
  <si>
    <t>1085.CBNPEM</t>
  </si>
  <si>
    <t>1283.KNGARU</t>
  </si>
  <si>
    <t>EXCLUDE_DATE</t>
  </si>
  <si>
    <t>WCR</t>
  </si>
  <si>
    <t>MLGSOE</t>
  </si>
  <si>
    <t>1209.1-G.Malang - Soekarno Hatta (MLGSOE)</t>
  </si>
  <si>
    <t>CBIPAS</t>
  </si>
  <si>
    <t>1378.1-G.Bogor - Raya Psr Lama Jonggol (CBIPAS)</t>
  </si>
  <si>
    <t>1378.CBIPAS</t>
  </si>
  <si>
    <t>1051.1-G.Malang - Raya Tlogomas (MLGTLO)</t>
  </si>
  <si>
    <t>MLGTLO</t>
  </si>
  <si>
    <t>MLGJAK</t>
  </si>
  <si>
    <t>1016.1-G.Malang - Jakarta (MLGJAK)</t>
  </si>
  <si>
    <t>1016.MLGJAK</t>
  </si>
  <si>
    <t>1051.MLGTLO</t>
  </si>
  <si>
    <t>MLGRON</t>
  </si>
  <si>
    <t>1036.1-G.Malang - Ronggowarsito (MLGRON)</t>
  </si>
  <si>
    <t>1036.MLGRON</t>
  </si>
  <si>
    <t>JAWA TIMUR 1</t>
  </si>
  <si>
    <t>1032.1-G.Batu - W.R Supratman (BTUSUP)</t>
  </si>
  <si>
    <t>1032.BTUSUP</t>
  </si>
  <si>
    <t>BTUSUP</t>
  </si>
  <si>
    <t>1052.1-G.Malang - Raya Mondoroko (MLGMON)</t>
  </si>
  <si>
    <t>MLGMON</t>
  </si>
  <si>
    <t>1052.MLGMON</t>
  </si>
  <si>
    <t>KPNSUD</t>
  </si>
  <si>
    <t>1314.1-G.Malang - Panglima Sudirman (KPNSUD)</t>
  </si>
  <si>
    <t>1314.KPNSUD</t>
  </si>
  <si>
    <t>MLGDIR</t>
  </si>
  <si>
    <t>1106.1-G.Malang - Dirgantara (MLGDIR)</t>
  </si>
  <si>
    <t>1106.MLGDIR</t>
  </si>
  <si>
    <t>KWGWAR</t>
  </si>
  <si>
    <t>1383.1-G.Karawang - Warudoyong Utara (KWGWAR)</t>
  </si>
  <si>
    <t>TGRKEL</t>
  </si>
  <si>
    <t>1383.KWGWAR</t>
  </si>
  <si>
    <t>1386.1-G.Tangerang - Raya Kelapa Dua (TGRKEL)</t>
  </si>
  <si>
    <t>1386.TGRKEL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</si>
</sst>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charset val="1"/>
      <scheme val="minor"/>
    </font>
    <font>
      <sz val="10"/>
      <color rgb="FF333333"/>
      <name val="Roboto"/>
    </font>
    <font>
      <b/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C000"/>
        <bgColor rgb="FFEA9999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14" fontId="3" fillId="2" borderId="1" xfId="1" applyNumberFormat="1" applyFont="1" applyFill="1" applyBorder="1" applyAlignment="1">
      <alignment horizontal="center"/>
    </xf>
    <xf numFmtId="0" fontId="0" fillId="0" borderId="1" xfId="0" applyBorder="1"/>
    <xf numFmtId="0" fontId="3" fillId="3" borderId="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6" borderId="1" xfId="1" applyFont="1" applyFill="1" applyBorder="1" applyAlignment="1">
      <alignment horizontal="center"/>
    </xf>
    <xf numFmtId="0" fontId="3" fillId="7" borderId="1" xfId="1" applyFont="1" applyFill="1" applyBorder="1" applyAlignment="1">
      <alignment horizontal="center"/>
    </xf>
    <xf numFmtId="0" fontId="3" fillId="8" borderId="1" xfId="1" applyFont="1" applyFill="1" applyBorder="1" applyAlignment="1">
      <alignment horizontal="center"/>
    </xf>
    <xf numFmtId="0" fontId="3" fillId="9" borderId="1" xfId="1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13" borderId="4" xfId="0" applyFont="1" applyFill="1" applyBorder="1" applyAlignment="1">
      <alignment horizontal="center"/>
    </xf>
    <xf numFmtId="0" fontId="0" fillId="14" borderId="1" xfId="0" applyFill="1" applyBorder="1"/>
    <xf numFmtId="14" fontId="3" fillId="0" borderId="1" xfId="1" applyNumberFormat="1" applyFont="1" applyBorder="1" applyAlignment="1">
      <alignment horizontal="center"/>
    </xf>
    <xf numFmtId="0" fontId="0" fillId="15" borderId="1" xfId="0" applyFill="1" applyBorder="1"/>
    <xf numFmtId="0" fontId="3" fillId="15" borderId="4" xfId="0" applyFont="1" applyFill="1" applyBorder="1" applyAlignment="1">
      <alignment horizontal="center"/>
    </xf>
    <xf numFmtId="14" fontId="3" fillId="15" borderId="1" xfId="1" applyNumberFormat="1" applyFont="1" applyFill="1" applyBorder="1" applyAlignment="1">
      <alignment horizontal="center"/>
    </xf>
    <xf numFmtId="0" fontId="0" fillId="16" borderId="1" xfId="0" applyFill="1" applyBorder="1"/>
  </cellXfs>
  <cellStyles count="2">
    <cellStyle name="Normal" xfId="0" builtinId="0"/>
    <cellStyle name="Normal 2" xfId="1" xr:uid="{7B1D400C-522A-4D8B-AD46-9D4C289835C7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BAD4-117C-4DE8-B838-BB6A4F70CD80}">
  <dimension ref="A1:B22"/>
  <sheetViews>
    <sheetView workbookViewId="0">
      <selection activeCell="C15" sqref="C15"/>
    </sheetView>
  </sheetViews>
  <sheetFormatPr defaultRowHeight="14.5" x14ac:dyDescent="0.35"/>
  <cols>
    <col min="1" max="1" width="9.54296875" bestFit="1" customWidth="1"/>
    <col min="2" max="2" width="13.54296875" bestFit="1" customWidth="1"/>
    <col min="3" max="3" width="10.1796875" bestFit="1" customWidth="1"/>
  </cols>
  <sheetData>
    <row r="1" spans="1:2" x14ac:dyDescent="0.35">
      <c r="A1" s="16" t="s">
        <v>156</v>
      </c>
      <c r="B1" s="15" t="s">
        <v>157</v>
      </c>
    </row>
    <row r="2" spans="1:2" x14ac:dyDescent="0.35">
      <c r="A2" s="14">
        <v>550064</v>
      </c>
      <c r="B2" s="13">
        <v>550364</v>
      </c>
    </row>
    <row r="3" spans="1:2" x14ac:dyDescent="0.35">
      <c r="A3" s="14">
        <v>550065</v>
      </c>
      <c r="B3" s="13">
        <v>550365</v>
      </c>
    </row>
    <row r="4" spans="1:2" x14ac:dyDescent="0.35">
      <c r="A4" s="14">
        <v>550080</v>
      </c>
      <c r="B4" s="13">
        <v>550366</v>
      </c>
    </row>
    <row r="5" spans="1:2" x14ac:dyDescent="0.35">
      <c r="A5" s="14">
        <v>550081</v>
      </c>
      <c r="B5" s="13">
        <v>550367</v>
      </c>
    </row>
    <row r="6" spans="1:2" x14ac:dyDescent="0.35">
      <c r="A6" s="14">
        <v>550260</v>
      </c>
      <c r="B6" s="13">
        <v>550368</v>
      </c>
    </row>
    <row r="7" spans="1:2" x14ac:dyDescent="0.35">
      <c r="A7" s="14">
        <v>550261</v>
      </c>
      <c r="B7" s="13">
        <v>550369</v>
      </c>
    </row>
    <row r="8" spans="1:2" x14ac:dyDescent="0.35">
      <c r="A8" s="14">
        <v>550262</v>
      </c>
      <c r="B8" s="13">
        <v>550370</v>
      </c>
    </row>
    <row r="9" spans="1:2" x14ac:dyDescent="0.35">
      <c r="A9" s="14">
        <v>550263</v>
      </c>
      <c r="B9" s="13">
        <v>550371</v>
      </c>
    </row>
    <row r="10" spans="1:2" x14ac:dyDescent="0.35">
      <c r="A10" s="14">
        <v>550264</v>
      </c>
      <c r="B10" s="13">
        <v>550372</v>
      </c>
    </row>
    <row r="11" spans="1:2" x14ac:dyDescent="0.35">
      <c r="A11" s="14">
        <v>550265</v>
      </c>
      <c r="B11" s="13">
        <v>550373</v>
      </c>
    </row>
    <row r="12" spans="1:2" x14ac:dyDescent="0.35">
      <c r="A12" s="14">
        <v>550266</v>
      </c>
      <c r="B12" s="13">
        <v>550374</v>
      </c>
    </row>
    <row r="13" spans="1:2" x14ac:dyDescent="0.35">
      <c r="A13" s="14">
        <v>550267</v>
      </c>
      <c r="B13" s="13">
        <v>550375</v>
      </c>
    </row>
    <row r="14" spans="1:2" x14ac:dyDescent="0.35">
      <c r="A14" s="14">
        <v>550268</v>
      </c>
      <c r="B14" s="13">
        <v>550376</v>
      </c>
    </row>
    <row r="15" spans="1:2" x14ac:dyDescent="0.35">
      <c r="A15" s="14">
        <v>550269</v>
      </c>
      <c r="B15" s="13">
        <v>550377</v>
      </c>
    </row>
    <row r="16" spans="1:2" x14ac:dyDescent="0.35">
      <c r="A16" s="14">
        <v>550270</v>
      </c>
      <c r="B16" s="13">
        <v>550378</v>
      </c>
    </row>
    <row r="17" spans="1:2" x14ac:dyDescent="0.35">
      <c r="A17" s="14">
        <v>550271</v>
      </c>
      <c r="B17" s="13">
        <v>550379</v>
      </c>
    </row>
    <row r="18" spans="1:2" x14ac:dyDescent="0.35">
      <c r="A18" s="14">
        <v>550146</v>
      </c>
      <c r="B18" s="13">
        <v>550430</v>
      </c>
    </row>
    <row r="19" spans="1:2" x14ac:dyDescent="0.35">
      <c r="A19" s="14">
        <v>550151</v>
      </c>
      <c r="B19" s="13">
        <v>550431</v>
      </c>
    </row>
    <row r="20" spans="1:2" x14ac:dyDescent="0.35">
      <c r="A20" s="14">
        <v>550152</v>
      </c>
      <c r="B20" s="13">
        <v>550432</v>
      </c>
    </row>
    <row r="21" spans="1:2" x14ac:dyDescent="0.35">
      <c r="A21" s="14">
        <v>550153</v>
      </c>
      <c r="B21" s="13">
        <v>550433</v>
      </c>
    </row>
    <row r="22" spans="1:2" x14ac:dyDescent="0.35">
      <c r="A22" s="14">
        <v>550154</v>
      </c>
      <c r="B22" s="13">
        <v>550434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F88C-CAFF-4807-B167-4FE3417BBD55}">
  <dimension ref="A1:D41"/>
  <sheetViews>
    <sheetView topLeftCell="A1048560" workbookViewId="0">
      <selection activeCell="B1048576" sqref="B1048576"/>
    </sheetView>
  </sheetViews>
  <sheetFormatPr defaultRowHeight="14.5" x14ac:dyDescent="0.35"/>
  <cols>
    <col min="1" max="1" width="12.453125" bestFit="1" customWidth="1"/>
    <col min="2" max="2" width="12.453125" customWidth="1"/>
    <col min="3" max="3" width="9.54296875" bestFit="1" customWidth="1"/>
    <col min="4" max="4" width="13.54296875" bestFit="1" customWidth="1"/>
  </cols>
  <sheetData>
    <row r="1" spans="1:4" x14ac:dyDescent="0.35">
      <c r="A1" s="16" t="s">
        <v>158</v>
      </c>
      <c r="B1" s="16" t="s">
        <v>184</v>
      </c>
      <c r="C1" s="16" t="s">
        <v>156</v>
      </c>
      <c r="D1" s="15" t="s">
        <v>157</v>
      </c>
    </row>
    <row r="2" spans="1:4" x14ac:dyDescent="0.35">
      <c r="B2" s="4"/>
      <c r="C2" s="23"/>
      <c r="D2" s="23"/>
    </row>
    <row r="3" spans="1:4" x14ac:dyDescent="0.35">
      <c r="B3" s="4"/>
      <c r="C3" s="23"/>
      <c r="D3" s="23"/>
    </row>
    <row r="4" spans="1:4" x14ac:dyDescent="0.35">
      <c r="B4" s="4"/>
      <c r="C4" s="23"/>
      <c r="D4" s="23"/>
    </row>
    <row r="5" spans="1:4" x14ac:dyDescent="0.35">
      <c r="B5" s="4"/>
      <c r="C5" s="23"/>
      <c r="D5" s="23"/>
    </row>
    <row r="6" spans="1:4" x14ac:dyDescent="0.35">
      <c r="B6" s="4"/>
      <c r="C6" s="23"/>
      <c r="D6" s="23"/>
    </row>
    <row r="7" spans="1:4" x14ac:dyDescent="0.35">
      <c r="B7" s="4"/>
      <c r="C7" s="23"/>
      <c r="D7" s="23"/>
    </row>
    <row r="8" spans="1:4" x14ac:dyDescent="0.35">
      <c r="B8" s="4"/>
      <c r="C8" s="23"/>
      <c r="D8" s="23"/>
    </row>
    <row r="9" spans="1:4" x14ac:dyDescent="0.35">
      <c r="B9" s="4"/>
      <c r="C9" s="23"/>
      <c r="D9" s="23"/>
    </row>
    <row r="10" spans="1:4" x14ac:dyDescent="0.35">
      <c r="B10" s="4"/>
      <c r="C10" s="23"/>
      <c r="D10" s="23"/>
    </row>
    <row r="11" spans="1:4" x14ac:dyDescent="0.35">
      <c r="B11" s="4"/>
      <c r="C11" s="23"/>
      <c r="D11" s="23"/>
    </row>
    <row r="12" spans="1:4" x14ac:dyDescent="0.35">
      <c r="B12" s="4"/>
      <c r="C12" s="23"/>
      <c r="D12" s="23"/>
    </row>
    <row r="13" spans="1:4" x14ac:dyDescent="0.35">
      <c r="B13" s="4"/>
      <c r="C13" s="23"/>
      <c r="D13" s="23"/>
    </row>
    <row r="14" spans="1:4" x14ac:dyDescent="0.35">
      <c r="B14" s="4"/>
      <c r="C14" s="23"/>
      <c r="D14" s="23"/>
    </row>
    <row r="15" spans="1:4" x14ac:dyDescent="0.35">
      <c r="B15" s="4"/>
      <c r="C15" s="23"/>
      <c r="D15" s="23"/>
    </row>
    <row r="16" spans="1:4" x14ac:dyDescent="0.35">
      <c r="B16" s="4"/>
      <c r="C16" s="23"/>
      <c r="D16" s="23"/>
    </row>
    <row r="17" spans="2:4" x14ac:dyDescent="0.35">
      <c r="B17" s="4"/>
      <c r="C17" s="23"/>
      <c r="D17" s="23"/>
    </row>
    <row r="18" spans="2:4" x14ac:dyDescent="0.35">
      <c r="B18" s="4"/>
      <c r="C18" s="23"/>
      <c r="D18" s="23"/>
    </row>
    <row r="19" spans="2:4" x14ac:dyDescent="0.35">
      <c r="B19" s="4"/>
      <c r="C19" s="23"/>
      <c r="D19" s="23"/>
    </row>
    <row r="20" spans="2:4" x14ac:dyDescent="0.35">
      <c r="B20" s="4"/>
      <c r="C20" s="23"/>
      <c r="D20" s="23"/>
    </row>
    <row r="21" spans="2:4" x14ac:dyDescent="0.35">
      <c r="B21" s="4"/>
      <c r="C21" s="23"/>
      <c r="D21" s="23"/>
    </row>
    <row r="22" spans="2:4" x14ac:dyDescent="0.35">
      <c r="B22" s="4"/>
      <c r="C22" s="23"/>
      <c r="D22" s="23"/>
    </row>
    <row r="23" spans="2:4" x14ac:dyDescent="0.35">
      <c r="B23" s="4"/>
      <c r="C23" s="23"/>
      <c r="D23" s="23"/>
    </row>
    <row r="24" spans="2:4" x14ac:dyDescent="0.35">
      <c r="B24" s="4"/>
      <c r="C24" s="23"/>
      <c r="D24" s="23"/>
    </row>
    <row r="25" spans="2:4" x14ac:dyDescent="0.35">
      <c r="B25" s="4"/>
      <c r="C25" s="23"/>
      <c r="D25" s="23"/>
    </row>
    <row r="26" spans="2:4" x14ac:dyDescent="0.35">
      <c r="B26" s="4"/>
      <c r="C26" s="23"/>
      <c r="D26" s="23"/>
    </row>
    <row r="27" spans="2:4" x14ac:dyDescent="0.35">
      <c r="B27" s="4"/>
      <c r="C27" s="23"/>
      <c r="D27" s="23"/>
    </row>
    <row r="28" spans="2:4" x14ac:dyDescent="0.35">
      <c r="B28" s="4"/>
      <c r="C28" s="23"/>
      <c r="D28" s="23"/>
    </row>
    <row r="29" spans="2:4" x14ac:dyDescent="0.35">
      <c r="B29" s="4"/>
      <c r="C29" s="23"/>
      <c r="D29" s="23"/>
    </row>
    <row r="30" spans="2:4" x14ac:dyDescent="0.35">
      <c r="B30" s="4"/>
      <c r="C30" s="23"/>
      <c r="D30" s="23"/>
    </row>
    <row r="31" spans="2:4" x14ac:dyDescent="0.35">
      <c r="B31" s="4"/>
      <c r="C31" s="23"/>
      <c r="D31" s="23"/>
    </row>
    <row r="32" spans="2:4" x14ac:dyDescent="0.35">
      <c r="B32" s="4"/>
      <c r="C32" s="23"/>
      <c r="D32" s="23"/>
    </row>
    <row r="33" spans="2:4" x14ac:dyDescent="0.35">
      <c r="B33" s="4"/>
      <c r="C33" s="23"/>
      <c r="D33" s="23"/>
    </row>
    <row r="34" spans="2:4" x14ac:dyDescent="0.35">
      <c r="B34" s="4"/>
      <c r="C34" s="23"/>
      <c r="D34" s="23"/>
    </row>
    <row r="35" spans="2:4" x14ac:dyDescent="0.35">
      <c r="B35" s="4"/>
      <c r="C35" s="23"/>
      <c r="D35" s="23"/>
    </row>
    <row r="36" spans="2:4" x14ac:dyDescent="0.35">
      <c r="B36" s="4"/>
      <c r="C36" s="23"/>
      <c r="D36" s="23"/>
    </row>
    <row r="37" spans="2:4" x14ac:dyDescent="0.35">
      <c r="B37" s="4"/>
      <c r="C37" s="23"/>
      <c r="D37" s="23"/>
    </row>
    <row r="38" spans="2:4" x14ac:dyDescent="0.35">
      <c r="B38" s="4"/>
      <c r="C38" s="23"/>
      <c r="D38" s="23"/>
    </row>
    <row r="39" spans="2:4" x14ac:dyDescent="0.35">
      <c r="B39" s="4"/>
      <c r="C39" s="23"/>
      <c r="D39" s="23"/>
    </row>
    <row r="40" spans="2:4" x14ac:dyDescent="0.35">
      <c r="B40" s="4"/>
      <c r="C40" s="23"/>
      <c r="D40" s="23"/>
    </row>
    <row r="41" spans="2:4" x14ac:dyDescent="0.35">
      <c r="B41" s="4"/>
      <c r="C41" s="23"/>
      <c r="D41" s="23"/>
    </row>
  </sheetData>
  <conditionalFormatting sqref="A1:B1">
    <cfRule type="duplicateValues" dxfId="4" priority="1"/>
  </conditionalFormatting>
  <conditionalFormatting sqref="C1:C1048576">
    <cfRule type="duplicateValues" dxfId="3" priority="2"/>
  </conditionalFormatting>
  <conditionalFormatting sqref="D1:D41">
    <cfRule type="duplicateValues" dxfId="2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3A7F-4C29-4A64-8B36-B4F9E885B333}">
  <dimension ref="A1:F126"/>
  <sheetViews>
    <sheetView workbookViewId="0">
      <selection activeCell="B1" sqref="B1"/>
    </sheetView>
  </sheetViews>
  <sheetFormatPr defaultRowHeight="14.5" x14ac:dyDescent="0.35"/>
  <cols>
    <col min="2" max="2" width="12.1796875" bestFit="1" customWidth="1"/>
    <col min="3" max="3" width="10.54296875" bestFit="1" customWidth="1"/>
    <col min="4" max="4" width="41.54296875" bestFit="1" customWidth="1"/>
    <col min="5" max="5" width="11.7265625" bestFit="1" customWidth="1"/>
    <col min="6" max="6" width="13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184</v>
      </c>
      <c r="F1" s="1" t="s">
        <v>158</v>
      </c>
    </row>
    <row r="2" spans="1:6" x14ac:dyDescent="0.35">
      <c r="A2" s="2">
        <v>1</v>
      </c>
      <c r="B2" s="3" t="s">
        <v>4</v>
      </c>
      <c r="C2" s="3" t="s">
        <v>5</v>
      </c>
      <c r="D2" s="3" t="s">
        <v>6</v>
      </c>
      <c r="E2" s="4">
        <v>46062</v>
      </c>
      <c r="F2" s="5" t="s">
        <v>106</v>
      </c>
    </row>
    <row r="3" spans="1:6" x14ac:dyDescent="0.35">
      <c r="A3" s="2">
        <f t="shared" ref="A3:A51" si="0">1+A2</f>
        <v>2</v>
      </c>
      <c r="B3" s="6" t="s">
        <v>7</v>
      </c>
      <c r="C3" s="6" t="s">
        <v>8</v>
      </c>
      <c r="D3" s="6" t="s">
        <v>9</v>
      </c>
      <c r="E3" s="4">
        <v>46129</v>
      </c>
      <c r="F3" s="5" t="s">
        <v>107</v>
      </c>
    </row>
    <row r="4" spans="1:6" x14ac:dyDescent="0.35">
      <c r="A4" s="2">
        <f t="shared" si="0"/>
        <v>3</v>
      </c>
      <c r="B4" s="6" t="s">
        <v>7</v>
      </c>
      <c r="C4" s="6" t="s">
        <v>10</v>
      </c>
      <c r="D4" s="6" t="s">
        <v>11</v>
      </c>
      <c r="E4" s="4">
        <v>46130</v>
      </c>
      <c r="F4" s="5" t="s">
        <v>108</v>
      </c>
    </row>
    <row r="5" spans="1:6" x14ac:dyDescent="0.35">
      <c r="A5" s="2">
        <f t="shared" si="0"/>
        <v>4</v>
      </c>
      <c r="B5" s="6" t="s">
        <v>7</v>
      </c>
      <c r="C5" s="6" t="s">
        <v>12</v>
      </c>
      <c r="D5" s="6" t="s">
        <v>13</v>
      </c>
      <c r="E5" s="4">
        <v>46130</v>
      </c>
      <c r="F5" s="5" t="s">
        <v>109</v>
      </c>
    </row>
    <row r="6" spans="1:6" x14ac:dyDescent="0.35">
      <c r="A6" s="2">
        <f t="shared" si="0"/>
        <v>5</v>
      </c>
      <c r="B6" s="6" t="s">
        <v>7</v>
      </c>
      <c r="C6" s="6" t="s">
        <v>14</v>
      </c>
      <c r="D6" s="6" t="s">
        <v>15</v>
      </c>
      <c r="E6" s="4">
        <v>46134</v>
      </c>
      <c r="F6" s="5" t="s">
        <v>110</v>
      </c>
    </row>
    <row r="7" spans="1:6" x14ac:dyDescent="0.35">
      <c r="A7" s="2">
        <f t="shared" si="0"/>
        <v>6</v>
      </c>
      <c r="B7" s="6" t="s">
        <v>7</v>
      </c>
      <c r="C7" s="6" t="s">
        <v>16</v>
      </c>
      <c r="D7" s="6" t="s">
        <v>17</v>
      </c>
      <c r="E7" s="4">
        <v>46128</v>
      </c>
      <c r="F7" s="5" t="s">
        <v>111</v>
      </c>
    </row>
    <row r="8" spans="1:6" x14ac:dyDescent="0.35">
      <c r="A8" s="2">
        <f t="shared" si="0"/>
        <v>7</v>
      </c>
      <c r="B8" s="6" t="s">
        <v>7</v>
      </c>
      <c r="C8" s="6" t="s">
        <v>18</v>
      </c>
      <c r="D8" s="6" t="s">
        <v>19</v>
      </c>
      <c r="E8" s="4">
        <v>46133</v>
      </c>
      <c r="F8" s="5" t="s">
        <v>112</v>
      </c>
    </row>
    <row r="9" spans="1:6" x14ac:dyDescent="0.35">
      <c r="A9" s="2">
        <f t="shared" si="0"/>
        <v>8</v>
      </c>
      <c r="B9" s="6" t="s">
        <v>7</v>
      </c>
      <c r="C9" s="6" t="s">
        <v>20</v>
      </c>
      <c r="D9" s="6" t="s">
        <v>21</v>
      </c>
      <c r="E9" s="4">
        <v>46132</v>
      </c>
      <c r="F9" s="5" t="s">
        <v>113</v>
      </c>
    </row>
    <row r="10" spans="1:6" x14ac:dyDescent="0.35">
      <c r="A10" s="2">
        <f t="shared" si="0"/>
        <v>9</v>
      </c>
      <c r="B10" s="6" t="s">
        <v>7</v>
      </c>
      <c r="C10" s="6" t="s">
        <v>22</v>
      </c>
      <c r="D10" s="6" t="s">
        <v>23</v>
      </c>
      <c r="E10" s="4">
        <v>46129</v>
      </c>
      <c r="F10" s="5" t="s">
        <v>114</v>
      </c>
    </row>
    <row r="11" spans="1:6" x14ac:dyDescent="0.35">
      <c r="A11" s="2">
        <f t="shared" si="0"/>
        <v>10</v>
      </c>
      <c r="B11" s="6" t="s">
        <v>7</v>
      </c>
      <c r="C11" s="6" t="s">
        <v>24</v>
      </c>
      <c r="D11" s="6" t="s">
        <v>25</v>
      </c>
      <c r="E11" s="4">
        <v>46133</v>
      </c>
      <c r="F11" s="5" t="s">
        <v>115</v>
      </c>
    </row>
    <row r="12" spans="1:6" x14ac:dyDescent="0.35">
      <c r="A12" s="2">
        <f t="shared" si="0"/>
        <v>11</v>
      </c>
      <c r="B12" s="7" t="s">
        <v>7</v>
      </c>
      <c r="C12" s="7" t="s">
        <v>26</v>
      </c>
      <c r="D12" s="7" t="s">
        <v>27</v>
      </c>
      <c r="E12" s="4">
        <v>46129</v>
      </c>
      <c r="F12" s="5" t="s">
        <v>116</v>
      </c>
    </row>
    <row r="13" spans="1:6" x14ac:dyDescent="0.35">
      <c r="A13" s="2">
        <f t="shared" si="0"/>
        <v>12</v>
      </c>
      <c r="B13" s="7" t="s">
        <v>7</v>
      </c>
      <c r="C13" s="7" t="s">
        <v>28</v>
      </c>
      <c r="D13" s="7" t="s">
        <v>29</v>
      </c>
      <c r="E13" s="4">
        <v>46128</v>
      </c>
      <c r="F13" s="5" t="s">
        <v>117</v>
      </c>
    </row>
    <row r="14" spans="1:6" x14ac:dyDescent="0.35">
      <c r="A14" s="2">
        <f t="shared" si="0"/>
        <v>13</v>
      </c>
      <c r="B14" s="7" t="s">
        <v>7</v>
      </c>
      <c r="C14" s="7" t="s">
        <v>30</v>
      </c>
      <c r="D14" s="7" t="s">
        <v>31</v>
      </c>
      <c r="E14" s="4">
        <v>46132</v>
      </c>
      <c r="F14" s="5" t="s">
        <v>118</v>
      </c>
    </row>
    <row r="15" spans="1:6" x14ac:dyDescent="0.35">
      <c r="A15" s="2">
        <f t="shared" si="0"/>
        <v>14</v>
      </c>
      <c r="B15" s="7" t="s">
        <v>7</v>
      </c>
      <c r="C15" s="7" t="s">
        <v>32</v>
      </c>
      <c r="D15" s="7" t="s">
        <v>33</v>
      </c>
      <c r="E15" s="4">
        <v>46128</v>
      </c>
      <c r="F15" s="5" t="s">
        <v>119</v>
      </c>
    </row>
    <row r="16" spans="1:6" x14ac:dyDescent="0.35">
      <c r="A16" s="2">
        <f t="shared" si="0"/>
        <v>15</v>
      </c>
      <c r="B16" s="7" t="s">
        <v>7</v>
      </c>
      <c r="C16" s="7" t="s">
        <v>34</v>
      </c>
      <c r="D16" s="7" t="s">
        <v>35</v>
      </c>
      <c r="E16" s="4">
        <v>46128</v>
      </c>
      <c r="F16" s="5" t="s">
        <v>120</v>
      </c>
    </row>
    <row r="17" spans="1:6" x14ac:dyDescent="0.35">
      <c r="A17" s="2">
        <f t="shared" si="0"/>
        <v>16</v>
      </c>
      <c r="B17" s="8" t="s">
        <v>7</v>
      </c>
      <c r="C17" s="8" t="s">
        <v>36</v>
      </c>
      <c r="D17" s="8" t="s">
        <v>37</v>
      </c>
      <c r="E17" s="4">
        <v>46135</v>
      </c>
      <c r="F17" s="5" t="s">
        <v>121</v>
      </c>
    </row>
    <row r="18" spans="1:6" x14ac:dyDescent="0.35">
      <c r="A18" s="2">
        <f t="shared" si="0"/>
        <v>17</v>
      </c>
      <c r="B18" s="8" t="s">
        <v>7</v>
      </c>
      <c r="C18" s="8" t="s">
        <v>38</v>
      </c>
      <c r="D18" s="8" t="s">
        <v>39</v>
      </c>
      <c r="E18" s="4">
        <v>46133</v>
      </c>
      <c r="F18" s="5" t="s">
        <v>122</v>
      </c>
    </row>
    <row r="19" spans="1:6" x14ac:dyDescent="0.35">
      <c r="A19" s="2">
        <f t="shared" si="0"/>
        <v>18</v>
      </c>
      <c r="B19" s="8" t="s">
        <v>7</v>
      </c>
      <c r="C19" s="8" t="s">
        <v>40</v>
      </c>
      <c r="D19" s="8" t="s">
        <v>238</v>
      </c>
      <c r="E19" s="4">
        <v>46133</v>
      </c>
      <c r="F19" s="5" t="s">
        <v>123</v>
      </c>
    </row>
    <row r="20" spans="1:6" x14ac:dyDescent="0.35">
      <c r="A20" s="2">
        <f t="shared" si="0"/>
        <v>19</v>
      </c>
      <c r="B20" s="8" t="s">
        <v>7</v>
      </c>
      <c r="C20" s="8" t="s">
        <v>41</v>
      </c>
      <c r="D20" s="8" t="s">
        <v>42</v>
      </c>
      <c r="E20" s="4">
        <v>46135</v>
      </c>
      <c r="F20" s="5" t="s">
        <v>124</v>
      </c>
    </row>
    <row r="21" spans="1:6" x14ac:dyDescent="0.35">
      <c r="A21" s="2">
        <f t="shared" si="0"/>
        <v>20</v>
      </c>
      <c r="B21" s="8" t="s">
        <v>7</v>
      </c>
      <c r="C21" s="8" t="s">
        <v>43</v>
      </c>
      <c r="D21" s="8" t="s">
        <v>44</v>
      </c>
      <c r="E21" s="4">
        <v>46135</v>
      </c>
      <c r="F21" s="5" t="s">
        <v>125</v>
      </c>
    </row>
    <row r="22" spans="1:6" x14ac:dyDescent="0.35">
      <c r="A22" s="2">
        <f t="shared" si="0"/>
        <v>21</v>
      </c>
      <c r="B22" s="8" t="s">
        <v>7</v>
      </c>
      <c r="C22" s="8" t="s">
        <v>45</v>
      </c>
      <c r="D22" s="8" t="s">
        <v>46</v>
      </c>
      <c r="E22" s="4">
        <v>46133</v>
      </c>
      <c r="F22" s="5" t="s">
        <v>126</v>
      </c>
    </row>
    <row r="23" spans="1:6" x14ac:dyDescent="0.35">
      <c r="A23" s="2">
        <f t="shared" si="0"/>
        <v>22</v>
      </c>
      <c r="B23" s="8" t="s">
        <v>7</v>
      </c>
      <c r="C23" s="8" t="s">
        <v>47</v>
      </c>
      <c r="D23" s="8" t="s">
        <v>48</v>
      </c>
      <c r="E23" s="4">
        <v>46133</v>
      </c>
      <c r="F23" s="5" t="s">
        <v>127</v>
      </c>
    </row>
    <row r="24" spans="1:6" x14ac:dyDescent="0.35">
      <c r="A24" s="2">
        <f t="shared" si="0"/>
        <v>23</v>
      </c>
      <c r="B24" s="8" t="s">
        <v>7</v>
      </c>
      <c r="C24" s="8" t="s">
        <v>49</v>
      </c>
      <c r="D24" s="8" t="s">
        <v>50</v>
      </c>
      <c r="E24" s="4">
        <v>46133</v>
      </c>
      <c r="F24" s="5" t="s">
        <v>128</v>
      </c>
    </row>
    <row r="25" spans="1:6" x14ac:dyDescent="0.35">
      <c r="A25" s="2">
        <f t="shared" si="0"/>
        <v>24</v>
      </c>
      <c r="B25" s="8" t="s">
        <v>7</v>
      </c>
      <c r="C25" s="8" t="s">
        <v>51</v>
      </c>
      <c r="D25" s="8" t="s">
        <v>52</v>
      </c>
      <c r="E25" s="4">
        <v>46133</v>
      </c>
      <c r="F25" s="5" t="s">
        <v>129</v>
      </c>
    </row>
    <row r="26" spans="1:6" x14ac:dyDescent="0.35">
      <c r="A26" s="2">
        <f t="shared" si="0"/>
        <v>25</v>
      </c>
      <c r="B26" s="8" t="s">
        <v>7</v>
      </c>
      <c r="C26" s="8" t="s">
        <v>53</v>
      </c>
      <c r="D26" s="8" t="s">
        <v>54</v>
      </c>
      <c r="E26" s="4">
        <v>46133</v>
      </c>
      <c r="F26" s="5" t="s">
        <v>130</v>
      </c>
    </row>
    <row r="27" spans="1:6" x14ac:dyDescent="0.35">
      <c r="A27" s="2">
        <f t="shared" si="0"/>
        <v>26</v>
      </c>
      <c r="B27" s="8" t="s">
        <v>7</v>
      </c>
      <c r="C27" s="8" t="s">
        <v>55</v>
      </c>
      <c r="D27" s="8" t="s">
        <v>56</v>
      </c>
      <c r="E27" s="4">
        <v>46133</v>
      </c>
      <c r="F27" s="5" t="s">
        <v>131</v>
      </c>
    </row>
    <row r="28" spans="1:6" x14ac:dyDescent="0.35">
      <c r="A28" s="2">
        <f t="shared" si="0"/>
        <v>27</v>
      </c>
      <c r="B28" s="8" t="s">
        <v>7</v>
      </c>
      <c r="C28" s="8" t="s">
        <v>57</v>
      </c>
      <c r="D28" s="8" t="s">
        <v>58</v>
      </c>
      <c r="E28" s="4">
        <v>46135</v>
      </c>
      <c r="F28" s="5" t="s">
        <v>132</v>
      </c>
    </row>
    <row r="29" spans="1:6" x14ac:dyDescent="0.35">
      <c r="A29" s="2">
        <f t="shared" si="0"/>
        <v>28</v>
      </c>
      <c r="B29" s="8" t="s">
        <v>7</v>
      </c>
      <c r="C29" s="8" t="s">
        <v>59</v>
      </c>
      <c r="D29" s="8" t="s">
        <v>60</v>
      </c>
      <c r="E29" s="4">
        <v>46133</v>
      </c>
      <c r="F29" s="5" t="s">
        <v>133</v>
      </c>
    </row>
    <row r="30" spans="1:6" x14ac:dyDescent="0.35">
      <c r="A30" s="2">
        <f t="shared" si="0"/>
        <v>29</v>
      </c>
      <c r="B30" s="9" t="s">
        <v>61</v>
      </c>
      <c r="C30" s="9" t="s">
        <v>62</v>
      </c>
      <c r="D30" s="9" t="s">
        <v>63</v>
      </c>
      <c r="E30" s="4">
        <v>46133</v>
      </c>
      <c r="F30" s="5" t="s">
        <v>134</v>
      </c>
    </row>
    <row r="31" spans="1:6" x14ac:dyDescent="0.35">
      <c r="A31" s="2">
        <f t="shared" si="0"/>
        <v>30</v>
      </c>
      <c r="B31" s="9" t="s">
        <v>61</v>
      </c>
      <c r="C31" s="9" t="s">
        <v>64</v>
      </c>
      <c r="D31" s="9" t="s">
        <v>65</v>
      </c>
      <c r="E31" s="4">
        <v>46133</v>
      </c>
      <c r="F31" s="5" t="s">
        <v>135</v>
      </c>
    </row>
    <row r="32" spans="1:6" x14ac:dyDescent="0.35">
      <c r="A32" s="2">
        <f t="shared" si="0"/>
        <v>31</v>
      </c>
      <c r="B32" s="9" t="s">
        <v>61</v>
      </c>
      <c r="C32" s="9" t="s">
        <v>66</v>
      </c>
      <c r="D32" s="9" t="s">
        <v>67</v>
      </c>
      <c r="E32" s="4">
        <v>46134</v>
      </c>
      <c r="F32" s="5" t="s">
        <v>136</v>
      </c>
    </row>
    <row r="33" spans="1:6" x14ac:dyDescent="0.35">
      <c r="A33" s="2">
        <f t="shared" si="0"/>
        <v>32</v>
      </c>
      <c r="B33" s="9" t="s">
        <v>61</v>
      </c>
      <c r="C33" s="9" t="s">
        <v>68</v>
      </c>
      <c r="D33" s="9" t="s">
        <v>69</v>
      </c>
      <c r="E33" s="4">
        <v>46135</v>
      </c>
      <c r="F33" s="5" t="s">
        <v>137</v>
      </c>
    </row>
    <row r="34" spans="1:6" x14ac:dyDescent="0.35">
      <c r="A34" s="2">
        <f t="shared" si="0"/>
        <v>33</v>
      </c>
      <c r="B34" s="9" t="s">
        <v>61</v>
      </c>
      <c r="C34" s="9" t="s">
        <v>70</v>
      </c>
      <c r="D34" s="9" t="s">
        <v>71</v>
      </c>
      <c r="E34" s="4">
        <v>46134</v>
      </c>
      <c r="F34" s="5" t="s">
        <v>138</v>
      </c>
    </row>
    <row r="35" spans="1:6" x14ac:dyDescent="0.35">
      <c r="A35" s="2">
        <f t="shared" si="0"/>
        <v>34</v>
      </c>
      <c r="B35" s="9" t="s">
        <v>61</v>
      </c>
      <c r="C35" s="9" t="s">
        <v>72</v>
      </c>
      <c r="D35" s="9" t="s">
        <v>73</v>
      </c>
      <c r="E35" s="4">
        <v>46134</v>
      </c>
      <c r="F35" s="5" t="s">
        <v>139</v>
      </c>
    </row>
    <row r="36" spans="1:6" x14ac:dyDescent="0.35">
      <c r="A36" s="2">
        <f t="shared" si="0"/>
        <v>35</v>
      </c>
      <c r="B36" s="10" t="s">
        <v>61</v>
      </c>
      <c r="C36" s="10" t="s">
        <v>74</v>
      </c>
      <c r="D36" s="10" t="s">
        <v>75</v>
      </c>
      <c r="E36" s="4">
        <v>46142</v>
      </c>
      <c r="F36" s="5" t="s">
        <v>140</v>
      </c>
    </row>
    <row r="37" spans="1:6" x14ac:dyDescent="0.35">
      <c r="A37" s="2">
        <f t="shared" si="0"/>
        <v>36</v>
      </c>
      <c r="B37" s="10" t="s">
        <v>61</v>
      </c>
      <c r="C37" s="10" t="s">
        <v>76</v>
      </c>
      <c r="D37" s="10" t="s">
        <v>77</v>
      </c>
      <c r="E37" s="4">
        <v>46142</v>
      </c>
      <c r="F37" s="5" t="s">
        <v>141</v>
      </c>
    </row>
    <row r="38" spans="1:6" x14ac:dyDescent="0.35">
      <c r="A38" s="2">
        <f t="shared" si="0"/>
        <v>37</v>
      </c>
      <c r="B38" s="10" t="s">
        <v>61</v>
      </c>
      <c r="C38" s="10" t="s">
        <v>78</v>
      </c>
      <c r="D38" s="10" t="s">
        <v>79</v>
      </c>
      <c r="E38" s="4">
        <v>46143</v>
      </c>
      <c r="F38" s="5" t="s">
        <v>142</v>
      </c>
    </row>
    <row r="39" spans="1:6" x14ac:dyDescent="0.35">
      <c r="A39" s="2">
        <f t="shared" si="0"/>
        <v>38</v>
      </c>
      <c r="B39" s="10" t="s">
        <v>61</v>
      </c>
      <c r="C39" s="10" t="s">
        <v>80</v>
      </c>
      <c r="D39" s="10" t="s">
        <v>81</v>
      </c>
      <c r="E39" s="4">
        <v>46142</v>
      </c>
      <c r="F39" s="5" t="s">
        <v>143</v>
      </c>
    </row>
    <row r="40" spans="1:6" x14ac:dyDescent="0.35">
      <c r="A40" s="2">
        <f t="shared" si="0"/>
        <v>39</v>
      </c>
      <c r="B40" s="10" t="s">
        <v>61</v>
      </c>
      <c r="C40" s="10" t="s">
        <v>82</v>
      </c>
      <c r="D40" s="10" t="s">
        <v>83</v>
      </c>
      <c r="E40" s="4">
        <v>46141</v>
      </c>
      <c r="F40" s="5" t="s">
        <v>144</v>
      </c>
    </row>
    <row r="41" spans="1:6" x14ac:dyDescent="0.35">
      <c r="A41" s="2">
        <f t="shared" si="0"/>
        <v>40</v>
      </c>
      <c r="B41" s="10" t="s">
        <v>61</v>
      </c>
      <c r="C41" s="10" t="s">
        <v>84</v>
      </c>
      <c r="D41" s="10" t="s">
        <v>85</v>
      </c>
      <c r="E41" s="4">
        <v>46141</v>
      </c>
      <c r="F41" s="5" t="s">
        <v>145</v>
      </c>
    </row>
    <row r="42" spans="1:6" x14ac:dyDescent="0.35">
      <c r="A42" s="2">
        <f t="shared" si="0"/>
        <v>41</v>
      </c>
      <c r="B42" s="10" t="s">
        <v>61</v>
      </c>
      <c r="C42" s="10" t="s">
        <v>86</v>
      </c>
      <c r="D42" s="10" t="s">
        <v>87</v>
      </c>
      <c r="E42" s="4">
        <v>46141</v>
      </c>
      <c r="F42" s="5" t="s">
        <v>146</v>
      </c>
    </row>
    <row r="43" spans="1:6" x14ac:dyDescent="0.35">
      <c r="A43" s="2">
        <f t="shared" si="0"/>
        <v>42</v>
      </c>
      <c r="B43" s="11" t="s">
        <v>61</v>
      </c>
      <c r="C43" s="11" t="s">
        <v>88</v>
      </c>
      <c r="D43" s="11" t="s">
        <v>89</v>
      </c>
      <c r="E43" s="4">
        <v>46141</v>
      </c>
      <c r="F43" s="5" t="s">
        <v>147</v>
      </c>
    </row>
    <row r="44" spans="1:6" x14ac:dyDescent="0.35">
      <c r="A44" s="2">
        <f t="shared" si="0"/>
        <v>43</v>
      </c>
      <c r="B44" s="11" t="s">
        <v>61</v>
      </c>
      <c r="C44" s="11" t="s">
        <v>90</v>
      </c>
      <c r="D44" s="11" t="s">
        <v>91</v>
      </c>
      <c r="E44" s="4">
        <v>46141</v>
      </c>
      <c r="F44" s="5" t="s">
        <v>148</v>
      </c>
    </row>
    <row r="45" spans="1:6" x14ac:dyDescent="0.35">
      <c r="A45" s="2">
        <f t="shared" si="0"/>
        <v>44</v>
      </c>
      <c r="B45" s="11" t="s">
        <v>61</v>
      </c>
      <c r="C45" s="11" t="s">
        <v>92</v>
      </c>
      <c r="D45" s="11" t="s">
        <v>93</v>
      </c>
      <c r="E45" s="4">
        <v>46142</v>
      </c>
      <c r="F45" s="5" t="s">
        <v>149</v>
      </c>
    </row>
    <row r="46" spans="1:6" x14ac:dyDescent="0.35">
      <c r="A46" s="2">
        <f t="shared" si="0"/>
        <v>45</v>
      </c>
      <c r="B46" s="11" t="s">
        <v>61</v>
      </c>
      <c r="C46" s="11" t="s">
        <v>94</v>
      </c>
      <c r="D46" s="11" t="s">
        <v>95</v>
      </c>
      <c r="E46" s="4">
        <v>46142</v>
      </c>
      <c r="F46" s="5" t="s">
        <v>150</v>
      </c>
    </row>
    <row r="47" spans="1:6" x14ac:dyDescent="0.35">
      <c r="A47" s="2">
        <f t="shared" si="0"/>
        <v>46</v>
      </c>
      <c r="B47" s="11" t="s">
        <v>61</v>
      </c>
      <c r="C47" s="11" t="s">
        <v>96</v>
      </c>
      <c r="D47" s="11" t="s">
        <v>97</v>
      </c>
      <c r="E47" s="4">
        <v>46141</v>
      </c>
      <c r="F47" s="5" t="s">
        <v>151</v>
      </c>
    </row>
    <row r="48" spans="1:6" x14ac:dyDescent="0.35">
      <c r="A48" s="2">
        <f t="shared" si="0"/>
        <v>47</v>
      </c>
      <c r="B48" s="12" t="s">
        <v>61</v>
      </c>
      <c r="C48" s="12" t="s">
        <v>98</v>
      </c>
      <c r="D48" s="12" t="s">
        <v>99</v>
      </c>
      <c r="E48" s="4">
        <v>46142</v>
      </c>
      <c r="F48" s="5" t="s">
        <v>152</v>
      </c>
    </row>
    <row r="49" spans="1:6" x14ac:dyDescent="0.35">
      <c r="A49" s="2">
        <f t="shared" si="0"/>
        <v>48</v>
      </c>
      <c r="B49" s="12" t="s">
        <v>61</v>
      </c>
      <c r="C49" s="12" t="s">
        <v>100</v>
      </c>
      <c r="D49" s="12" t="s">
        <v>101</v>
      </c>
      <c r="E49" s="4">
        <v>46142</v>
      </c>
      <c r="F49" s="5" t="s">
        <v>153</v>
      </c>
    </row>
    <row r="50" spans="1:6" x14ac:dyDescent="0.35">
      <c r="A50" s="2">
        <f t="shared" si="0"/>
        <v>49</v>
      </c>
      <c r="B50" s="12" t="s">
        <v>61</v>
      </c>
      <c r="C50" s="12" t="s">
        <v>102</v>
      </c>
      <c r="D50" s="12" t="s">
        <v>103</v>
      </c>
      <c r="E50" s="4">
        <v>46142</v>
      </c>
      <c r="F50" s="5" t="s">
        <v>154</v>
      </c>
    </row>
    <row r="51" spans="1:6" x14ac:dyDescent="0.35">
      <c r="A51" s="2">
        <f t="shared" si="0"/>
        <v>50</v>
      </c>
      <c r="B51" s="12" t="s">
        <v>61</v>
      </c>
      <c r="C51" s="12" t="s">
        <v>104</v>
      </c>
      <c r="D51" s="12" t="s">
        <v>105</v>
      </c>
      <c r="E51" s="4">
        <v>46143</v>
      </c>
      <c r="F51" s="5" t="s">
        <v>155</v>
      </c>
    </row>
    <row r="52" spans="1:6" x14ac:dyDescent="0.35">
      <c r="A52" s="2">
        <v>51</v>
      </c>
      <c r="B52" s="12" t="s">
        <v>61</v>
      </c>
      <c r="C52" s="12" t="s">
        <v>159</v>
      </c>
      <c r="D52" s="12" t="s">
        <v>160</v>
      </c>
      <c r="E52" s="4">
        <v>46168</v>
      </c>
      <c r="F52" s="5" t="s">
        <v>161</v>
      </c>
    </row>
    <row r="53" spans="1:6" x14ac:dyDescent="0.35">
      <c r="A53" s="2">
        <v>52</v>
      </c>
      <c r="B53" s="12" t="s">
        <v>61</v>
      </c>
      <c r="C53" s="12" t="str">
        <f>RIGHT(F53,6)</f>
        <v>GGPDAA</v>
      </c>
      <c r="D53" s="12" t="s">
        <v>177</v>
      </c>
      <c r="E53" s="4">
        <v>46157</v>
      </c>
      <c r="F53" s="5" t="s">
        <v>162</v>
      </c>
    </row>
    <row r="54" spans="1:6" x14ac:dyDescent="0.35">
      <c r="A54" s="2">
        <v>53</v>
      </c>
      <c r="B54" s="12" t="s">
        <v>61</v>
      </c>
      <c r="C54" s="12" t="str">
        <f t="shared" ref="C54:C63" si="1">RIGHT(F54,6)</f>
        <v>GGPPAN</v>
      </c>
      <c r="D54" s="12" t="s">
        <v>179</v>
      </c>
      <c r="E54" s="4">
        <v>46157</v>
      </c>
      <c r="F54" s="5" t="s">
        <v>163</v>
      </c>
    </row>
    <row r="55" spans="1:6" x14ac:dyDescent="0.35">
      <c r="A55" s="2">
        <v>54</v>
      </c>
      <c r="B55" s="12" t="s">
        <v>61</v>
      </c>
      <c r="C55" s="12" t="str">
        <f t="shared" si="1"/>
        <v>GGPJAT</v>
      </c>
      <c r="D55" s="12" t="s">
        <v>180</v>
      </c>
      <c r="E55" s="4">
        <v>46157</v>
      </c>
      <c r="F55" s="5" t="s">
        <v>164</v>
      </c>
    </row>
    <row r="56" spans="1:6" x14ac:dyDescent="0.35">
      <c r="A56" s="2">
        <v>55</v>
      </c>
      <c r="B56" s="12" t="s">
        <v>61</v>
      </c>
      <c r="C56" s="12" t="str">
        <f t="shared" si="1"/>
        <v>GGPPET</v>
      </c>
      <c r="D56" s="12" t="s">
        <v>181</v>
      </c>
      <c r="E56" s="4">
        <v>46157</v>
      </c>
      <c r="F56" s="5" t="s">
        <v>165</v>
      </c>
    </row>
    <row r="57" spans="1:6" x14ac:dyDescent="0.35">
      <c r="A57" s="2">
        <v>56</v>
      </c>
      <c r="B57" s="12" t="s">
        <v>61</v>
      </c>
      <c r="C57" s="12" t="str">
        <f t="shared" si="1"/>
        <v>GGPJOG</v>
      </c>
      <c r="D57" s="12" t="s">
        <v>183</v>
      </c>
      <c r="E57" s="4">
        <v>46157</v>
      </c>
      <c r="F57" s="5" t="s">
        <v>166</v>
      </c>
    </row>
    <row r="58" spans="1:6" x14ac:dyDescent="0.35">
      <c r="A58" s="2">
        <v>57</v>
      </c>
      <c r="B58" s="12" t="s">
        <v>61</v>
      </c>
      <c r="C58" s="12" t="str">
        <f t="shared" si="1"/>
        <v>DPKMAR</v>
      </c>
      <c r="D58" s="12" t="s">
        <v>173</v>
      </c>
      <c r="E58" s="4">
        <v>46157</v>
      </c>
      <c r="F58" s="5" t="s">
        <v>167</v>
      </c>
    </row>
    <row r="59" spans="1:6" x14ac:dyDescent="0.35">
      <c r="A59" s="2">
        <v>58</v>
      </c>
      <c r="B59" s="12" t="s">
        <v>61</v>
      </c>
      <c r="C59" s="12" t="str">
        <f t="shared" si="1"/>
        <v>DPKJAS</v>
      </c>
      <c r="D59" s="12" t="s">
        <v>174</v>
      </c>
      <c r="E59" s="4">
        <v>46157</v>
      </c>
      <c r="F59" s="5" t="s">
        <v>168</v>
      </c>
    </row>
    <row r="60" spans="1:6" x14ac:dyDescent="0.35">
      <c r="A60" s="2">
        <v>59</v>
      </c>
      <c r="B60" s="12" t="s">
        <v>61</v>
      </c>
      <c r="C60" s="12" t="str">
        <f t="shared" si="1"/>
        <v>DPKSAW</v>
      </c>
      <c r="D60" s="12" t="s">
        <v>175</v>
      </c>
      <c r="E60" s="4">
        <v>46157</v>
      </c>
      <c r="F60" s="5" t="s">
        <v>169</v>
      </c>
    </row>
    <row r="61" spans="1:6" x14ac:dyDescent="0.35">
      <c r="A61" s="2">
        <v>60</v>
      </c>
      <c r="B61" s="12" t="s">
        <v>61</v>
      </c>
      <c r="C61" s="12" t="str">
        <f t="shared" si="1"/>
        <v>DPKBOJ</v>
      </c>
      <c r="D61" s="12" t="s">
        <v>176</v>
      </c>
      <c r="E61" s="4">
        <v>46157</v>
      </c>
      <c r="F61" s="5" t="s">
        <v>170</v>
      </c>
    </row>
    <row r="62" spans="1:6" x14ac:dyDescent="0.35">
      <c r="A62" s="2">
        <v>61</v>
      </c>
      <c r="B62" s="12" t="s">
        <v>61</v>
      </c>
      <c r="C62" s="12" t="str">
        <f t="shared" si="1"/>
        <v>DPKPAR</v>
      </c>
      <c r="D62" s="12" t="s">
        <v>178</v>
      </c>
      <c r="E62" s="4">
        <v>46157</v>
      </c>
      <c r="F62" s="5" t="s">
        <v>171</v>
      </c>
    </row>
    <row r="63" spans="1:6" x14ac:dyDescent="0.35">
      <c r="A63" s="2">
        <v>62</v>
      </c>
      <c r="B63" s="12" t="s">
        <v>61</v>
      </c>
      <c r="C63" s="12" t="str">
        <f t="shared" si="1"/>
        <v>DPKLIM</v>
      </c>
      <c r="D63" s="12" t="s">
        <v>182</v>
      </c>
      <c r="E63" s="4">
        <v>46157</v>
      </c>
      <c r="F63" s="5" t="s">
        <v>172</v>
      </c>
    </row>
    <row r="64" spans="1:6" x14ac:dyDescent="0.35">
      <c r="A64" s="17">
        <f>1+A61</f>
        <v>61</v>
      </c>
      <c r="B64" s="18" t="s">
        <v>7</v>
      </c>
      <c r="C64" s="18" t="s">
        <v>185</v>
      </c>
      <c r="D64" s="18" t="s">
        <v>186</v>
      </c>
      <c r="E64" s="4">
        <v>46175</v>
      </c>
      <c r="F64" s="5" t="str">
        <f>LEFT(D64,4)&amp;"."&amp;LEFT(RIGHT(D64,7),6)</f>
        <v>1053.BGRPAD</v>
      </c>
    </row>
    <row r="65" spans="1:6" x14ac:dyDescent="0.35">
      <c r="A65" s="19">
        <f t="shared" ref="A65:A119" si="2">1+A64</f>
        <v>62</v>
      </c>
      <c r="B65" s="20" t="s">
        <v>7</v>
      </c>
      <c r="C65" s="20" t="s">
        <v>187</v>
      </c>
      <c r="D65" s="20" t="s">
        <v>188</v>
      </c>
      <c r="E65" s="4">
        <v>46175</v>
      </c>
      <c r="F65" s="5" t="str">
        <f t="shared" ref="F65:F69" si="3">LEFT(D65,4)&amp;"."&amp;LEFT(RIGHT(D65,7),6)</f>
        <v>1074.BGRTAJ</v>
      </c>
    </row>
    <row r="66" spans="1:6" x14ac:dyDescent="0.35">
      <c r="A66" s="19">
        <f t="shared" si="2"/>
        <v>63</v>
      </c>
      <c r="B66" s="20" t="s">
        <v>7</v>
      </c>
      <c r="C66" s="20" t="s">
        <v>189</v>
      </c>
      <c r="D66" s="20" t="s">
        <v>190</v>
      </c>
      <c r="E66" s="4">
        <v>46175</v>
      </c>
      <c r="F66" s="5" t="str">
        <f t="shared" si="3"/>
        <v>1079.BGRSAP</v>
      </c>
    </row>
    <row r="67" spans="1:6" x14ac:dyDescent="0.35">
      <c r="A67" s="19">
        <f t="shared" si="2"/>
        <v>64</v>
      </c>
      <c r="B67" s="20" t="s">
        <v>7</v>
      </c>
      <c r="C67" s="20" t="s">
        <v>191</v>
      </c>
      <c r="D67" s="20" t="s">
        <v>192</v>
      </c>
      <c r="E67" s="4">
        <v>46175</v>
      </c>
      <c r="F67" s="5" t="str">
        <f t="shared" si="3"/>
        <v>1100.BGRABD</v>
      </c>
    </row>
    <row r="68" spans="1:6" x14ac:dyDescent="0.35">
      <c r="A68" s="19">
        <f t="shared" si="2"/>
        <v>65</v>
      </c>
      <c r="B68" s="20" t="s">
        <v>7</v>
      </c>
      <c r="C68" s="20" t="s">
        <v>193</v>
      </c>
      <c r="D68" s="20" t="s">
        <v>194</v>
      </c>
      <c r="E68" s="4">
        <v>46175</v>
      </c>
      <c r="F68" s="5" t="str">
        <f t="shared" si="3"/>
        <v>1112.BGRSHO</v>
      </c>
    </row>
    <row r="69" spans="1:6" x14ac:dyDescent="0.35">
      <c r="A69" s="19">
        <f t="shared" si="2"/>
        <v>66</v>
      </c>
      <c r="B69" s="20" t="s">
        <v>7</v>
      </c>
      <c r="C69" s="20" t="s">
        <v>195</v>
      </c>
      <c r="D69" s="20" t="s">
        <v>196</v>
      </c>
      <c r="E69" s="4">
        <v>46175</v>
      </c>
      <c r="F69" s="5" t="str">
        <f t="shared" si="3"/>
        <v>1190.BGRBAT</v>
      </c>
    </row>
    <row r="70" spans="1:6" x14ac:dyDescent="0.35">
      <c r="A70" s="19">
        <f t="shared" si="2"/>
        <v>67</v>
      </c>
      <c r="B70" s="21" t="s">
        <v>7</v>
      </c>
      <c r="C70" s="21" t="s">
        <v>197</v>
      </c>
      <c r="D70" s="21" t="s">
        <v>198</v>
      </c>
      <c r="E70" s="4">
        <v>46175</v>
      </c>
      <c r="F70" s="5" t="s">
        <v>222</v>
      </c>
    </row>
    <row r="71" spans="1:6" x14ac:dyDescent="0.35">
      <c r="A71" s="19">
        <f t="shared" si="2"/>
        <v>68</v>
      </c>
      <c r="B71" s="21" t="s">
        <v>7</v>
      </c>
      <c r="C71" s="21" t="s">
        <v>199</v>
      </c>
      <c r="D71" s="21" t="s">
        <v>200</v>
      </c>
      <c r="E71" s="4">
        <v>46175</v>
      </c>
      <c r="F71" s="5" t="s">
        <v>223</v>
      </c>
    </row>
    <row r="72" spans="1:6" x14ac:dyDescent="0.35">
      <c r="A72" s="19">
        <f t="shared" si="2"/>
        <v>69</v>
      </c>
      <c r="B72" s="21" t="s">
        <v>7</v>
      </c>
      <c r="C72" s="21" t="s">
        <v>201</v>
      </c>
      <c r="D72" s="21" t="s">
        <v>202</v>
      </c>
      <c r="E72" s="4">
        <v>46175</v>
      </c>
      <c r="F72" s="5" t="s">
        <v>224</v>
      </c>
    </row>
    <row r="73" spans="1:6" x14ac:dyDescent="0.35">
      <c r="A73" s="19">
        <f t="shared" si="2"/>
        <v>70</v>
      </c>
      <c r="B73" s="21" t="s">
        <v>7</v>
      </c>
      <c r="C73" s="21" t="s">
        <v>203</v>
      </c>
      <c r="D73" s="21" t="s">
        <v>204</v>
      </c>
      <c r="E73" s="4">
        <v>46175</v>
      </c>
      <c r="F73" s="5" t="s">
        <v>225</v>
      </c>
    </row>
    <row r="74" spans="1:6" x14ac:dyDescent="0.35">
      <c r="A74" s="19">
        <f t="shared" si="2"/>
        <v>71</v>
      </c>
      <c r="B74" s="21" t="s">
        <v>7</v>
      </c>
      <c r="C74" s="21" t="s">
        <v>205</v>
      </c>
      <c r="D74" s="21" t="s">
        <v>206</v>
      </c>
      <c r="E74" s="4">
        <v>46175</v>
      </c>
      <c r="F74" s="5" t="s">
        <v>226</v>
      </c>
    </row>
    <row r="75" spans="1:6" x14ac:dyDescent="0.35">
      <c r="A75" s="19">
        <f t="shared" si="2"/>
        <v>72</v>
      </c>
      <c r="B75" s="21" t="s">
        <v>7</v>
      </c>
      <c r="C75" s="21" t="s">
        <v>207</v>
      </c>
      <c r="D75" s="21" t="s">
        <v>208</v>
      </c>
      <c r="E75" s="4">
        <v>46175</v>
      </c>
      <c r="F75" s="5" t="s">
        <v>227</v>
      </c>
    </row>
    <row r="76" spans="1:6" x14ac:dyDescent="0.35">
      <c r="A76" s="19">
        <f t="shared" si="2"/>
        <v>73</v>
      </c>
      <c r="B76" s="21" t="s">
        <v>7</v>
      </c>
      <c r="C76" s="21" t="s">
        <v>209</v>
      </c>
      <c r="D76" s="21" t="s">
        <v>210</v>
      </c>
      <c r="E76" s="4">
        <v>46175</v>
      </c>
      <c r="F76" s="5" t="s">
        <v>228</v>
      </c>
    </row>
    <row r="77" spans="1:6" x14ac:dyDescent="0.35">
      <c r="A77" s="19">
        <f t="shared" si="2"/>
        <v>74</v>
      </c>
      <c r="B77" s="21" t="s">
        <v>7</v>
      </c>
      <c r="C77" s="21" t="s">
        <v>211</v>
      </c>
      <c r="D77" s="21" t="s">
        <v>212</v>
      </c>
      <c r="E77" s="4">
        <v>46175</v>
      </c>
      <c r="F77" s="5" t="s">
        <v>229</v>
      </c>
    </row>
    <row r="78" spans="1:6" x14ac:dyDescent="0.35">
      <c r="A78" s="19">
        <f t="shared" si="2"/>
        <v>75</v>
      </c>
      <c r="B78" s="21" t="s">
        <v>7</v>
      </c>
      <c r="C78" s="21" t="s">
        <v>213</v>
      </c>
      <c r="D78" s="21" t="s">
        <v>214</v>
      </c>
      <c r="E78" s="4">
        <v>46175</v>
      </c>
      <c r="F78" s="5" t="s">
        <v>230</v>
      </c>
    </row>
    <row r="79" spans="1:6" x14ac:dyDescent="0.35">
      <c r="A79" s="19">
        <f t="shared" si="2"/>
        <v>76</v>
      </c>
      <c r="B79" s="21" t="s">
        <v>7</v>
      </c>
      <c r="C79" s="21" t="s">
        <v>215</v>
      </c>
      <c r="D79" s="21" t="s">
        <v>216</v>
      </c>
      <c r="E79" s="4">
        <v>46175</v>
      </c>
      <c r="F79" s="5" t="s">
        <v>231</v>
      </c>
    </row>
    <row r="80" spans="1:6" x14ac:dyDescent="0.35">
      <c r="A80" s="19">
        <f t="shared" si="2"/>
        <v>77</v>
      </c>
      <c r="B80" s="22" t="s">
        <v>217</v>
      </c>
      <c r="C80" s="22" t="s">
        <v>218</v>
      </c>
      <c r="D80" s="22" t="s">
        <v>219</v>
      </c>
      <c r="E80" s="4">
        <v>46302</v>
      </c>
      <c r="F80" s="27" t="s">
        <v>232</v>
      </c>
    </row>
    <row r="81" spans="1:6" x14ac:dyDescent="0.35">
      <c r="A81" s="19">
        <f t="shared" si="2"/>
        <v>78</v>
      </c>
      <c r="B81" s="22" t="s">
        <v>217</v>
      </c>
      <c r="C81" s="22" t="s">
        <v>220</v>
      </c>
      <c r="D81" s="22" t="s">
        <v>221</v>
      </c>
      <c r="E81" s="4">
        <v>46302</v>
      </c>
      <c r="F81" s="27" t="s">
        <v>233</v>
      </c>
    </row>
    <row r="82" spans="1:6" x14ac:dyDescent="0.35">
      <c r="A82" s="19">
        <v>79</v>
      </c>
      <c r="B82" s="24" t="s">
        <v>217</v>
      </c>
      <c r="C82" s="24" t="s">
        <v>235</v>
      </c>
      <c r="D82" s="24" t="s">
        <v>236</v>
      </c>
      <c r="E82" s="4">
        <v>46304</v>
      </c>
      <c r="F82" s="27" t="s">
        <v>237</v>
      </c>
    </row>
    <row r="83" spans="1:6" x14ac:dyDescent="0.35">
      <c r="A83" s="19">
        <f t="shared" si="2"/>
        <v>80</v>
      </c>
      <c r="B83" s="24" t="s">
        <v>217</v>
      </c>
      <c r="C83" s="24" t="s">
        <v>239</v>
      </c>
      <c r="D83" s="24" t="s">
        <v>240</v>
      </c>
      <c r="E83" s="4">
        <v>46212</v>
      </c>
      <c r="F83" s="5" t="s">
        <v>305</v>
      </c>
    </row>
    <row r="84" spans="1:6" x14ac:dyDescent="0.35">
      <c r="A84" s="19">
        <f t="shared" si="2"/>
        <v>81</v>
      </c>
      <c r="B84" s="24" t="s">
        <v>217</v>
      </c>
      <c r="C84" s="24" t="s">
        <v>241</v>
      </c>
      <c r="D84" s="24" t="s">
        <v>242</v>
      </c>
      <c r="E84" s="4">
        <v>46302</v>
      </c>
      <c r="F84" s="27" t="s">
        <v>306</v>
      </c>
    </row>
    <row r="85" spans="1:6" x14ac:dyDescent="0.35">
      <c r="A85" s="19">
        <f t="shared" si="2"/>
        <v>82</v>
      </c>
      <c r="B85" s="24" t="s">
        <v>217</v>
      </c>
      <c r="C85" s="24" t="s">
        <v>243</v>
      </c>
      <c r="D85" s="24" t="s">
        <v>244</v>
      </c>
      <c r="E85" s="4">
        <v>46302</v>
      </c>
      <c r="F85" s="27" t="s">
        <v>307</v>
      </c>
    </row>
    <row r="86" spans="1:6" x14ac:dyDescent="0.35">
      <c r="A86" s="19">
        <f t="shared" si="2"/>
        <v>83</v>
      </c>
      <c r="B86" s="24" t="s">
        <v>217</v>
      </c>
      <c r="C86" s="24" t="s">
        <v>245</v>
      </c>
      <c r="D86" s="24" t="s">
        <v>246</v>
      </c>
      <c r="E86" s="4">
        <v>46302</v>
      </c>
      <c r="F86" s="27" t="s">
        <v>308</v>
      </c>
    </row>
    <row r="87" spans="1:6" x14ac:dyDescent="0.35">
      <c r="A87" s="19">
        <f t="shared" si="2"/>
        <v>84</v>
      </c>
      <c r="B87" s="24" t="s">
        <v>217</v>
      </c>
      <c r="C87" s="24" t="s">
        <v>247</v>
      </c>
      <c r="D87" s="24" t="s">
        <v>248</v>
      </c>
      <c r="E87" s="4">
        <v>46302</v>
      </c>
      <c r="F87" s="27" t="s">
        <v>309</v>
      </c>
    </row>
    <row r="88" spans="1:6" x14ac:dyDescent="0.35">
      <c r="A88" s="19">
        <v>80</v>
      </c>
      <c r="B88" s="24" t="s">
        <v>217</v>
      </c>
      <c r="C88" s="24" t="s">
        <v>249</v>
      </c>
      <c r="D88" s="24" t="s">
        <v>250</v>
      </c>
      <c r="E88" s="4">
        <v>46302</v>
      </c>
      <c r="F88" s="27" t="s">
        <v>310</v>
      </c>
    </row>
    <row r="89" spans="1:6" x14ac:dyDescent="0.35">
      <c r="A89" s="19">
        <f t="shared" si="2"/>
        <v>81</v>
      </c>
      <c r="B89" s="24" t="s">
        <v>217</v>
      </c>
      <c r="C89" s="24" t="s">
        <v>251</v>
      </c>
      <c r="D89" s="24" t="s">
        <v>252</v>
      </c>
      <c r="E89" s="4">
        <v>46302</v>
      </c>
      <c r="F89" s="27" t="s">
        <v>311</v>
      </c>
    </row>
    <row r="90" spans="1:6" x14ac:dyDescent="0.35">
      <c r="A90" s="19">
        <f t="shared" si="2"/>
        <v>82</v>
      </c>
      <c r="B90" s="24" t="s">
        <v>217</v>
      </c>
      <c r="C90" s="24" t="s">
        <v>253</v>
      </c>
      <c r="D90" s="24" t="s">
        <v>254</v>
      </c>
      <c r="E90" s="4">
        <v>46212</v>
      </c>
      <c r="F90" s="25" t="s">
        <v>312</v>
      </c>
    </row>
    <row r="91" spans="1:6" x14ac:dyDescent="0.35">
      <c r="A91" s="19">
        <f t="shared" si="2"/>
        <v>83</v>
      </c>
      <c r="B91" s="24" t="s">
        <v>217</v>
      </c>
      <c r="C91" s="24" t="s">
        <v>255</v>
      </c>
      <c r="D91" s="24" t="s">
        <v>256</v>
      </c>
      <c r="E91" s="4">
        <v>46212</v>
      </c>
      <c r="F91" s="5" t="s">
        <v>313</v>
      </c>
    </row>
    <row r="92" spans="1:6" x14ac:dyDescent="0.35">
      <c r="A92" s="19">
        <f t="shared" si="2"/>
        <v>84</v>
      </c>
      <c r="B92" s="24" t="s">
        <v>217</v>
      </c>
      <c r="C92" s="24" t="s">
        <v>257</v>
      </c>
      <c r="D92" s="24" t="s">
        <v>258</v>
      </c>
      <c r="E92" s="4">
        <v>46212</v>
      </c>
      <c r="F92" s="25" t="s">
        <v>314</v>
      </c>
    </row>
    <row r="93" spans="1:6" x14ac:dyDescent="0.35">
      <c r="A93" s="19">
        <f t="shared" si="2"/>
        <v>85</v>
      </c>
      <c r="B93" s="24" t="s">
        <v>217</v>
      </c>
      <c r="C93" s="24" t="s">
        <v>259</v>
      </c>
      <c r="D93" s="24" t="s">
        <v>260</v>
      </c>
      <c r="E93" s="4">
        <v>46301</v>
      </c>
      <c r="F93" s="27" t="s">
        <v>315</v>
      </c>
    </row>
    <row r="94" spans="1:6" x14ac:dyDescent="0.35">
      <c r="A94" s="19">
        <v>81</v>
      </c>
      <c r="B94" s="24" t="s">
        <v>217</v>
      </c>
      <c r="C94" s="24" t="s">
        <v>261</v>
      </c>
      <c r="D94" s="24" t="s">
        <v>262</v>
      </c>
      <c r="E94" s="4">
        <v>46317</v>
      </c>
      <c r="F94" s="30" t="s">
        <v>316</v>
      </c>
    </row>
    <row r="95" spans="1:6" x14ac:dyDescent="0.35">
      <c r="A95" s="19">
        <f t="shared" si="2"/>
        <v>82</v>
      </c>
      <c r="B95" s="24" t="s">
        <v>217</v>
      </c>
      <c r="C95" s="24" t="s">
        <v>263</v>
      </c>
      <c r="D95" s="24" t="s">
        <v>264</v>
      </c>
      <c r="E95" s="4">
        <v>46212</v>
      </c>
      <c r="F95" s="25" t="s">
        <v>317</v>
      </c>
    </row>
    <row r="96" spans="1:6" x14ac:dyDescent="0.35">
      <c r="A96" s="19">
        <f t="shared" si="2"/>
        <v>83</v>
      </c>
      <c r="B96" s="24" t="s">
        <v>217</v>
      </c>
      <c r="C96" s="24" t="s">
        <v>265</v>
      </c>
      <c r="D96" s="24" t="s">
        <v>266</v>
      </c>
      <c r="E96" s="4">
        <v>46212</v>
      </c>
      <c r="F96" s="25" t="s">
        <v>318</v>
      </c>
    </row>
    <row r="97" spans="1:6" x14ac:dyDescent="0.35">
      <c r="A97" s="19">
        <f t="shared" si="2"/>
        <v>84</v>
      </c>
      <c r="B97" s="24" t="s">
        <v>217</v>
      </c>
      <c r="C97" s="24" t="s">
        <v>267</v>
      </c>
      <c r="D97" s="24" t="s">
        <v>268</v>
      </c>
      <c r="E97" s="4">
        <v>46315</v>
      </c>
      <c r="F97" s="30" t="s">
        <v>319</v>
      </c>
    </row>
    <row r="98" spans="1:6" x14ac:dyDescent="0.35">
      <c r="A98" s="19">
        <f t="shared" si="2"/>
        <v>85</v>
      </c>
      <c r="B98" s="24" t="s">
        <v>217</v>
      </c>
      <c r="C98" s="24" t="s">
        <v>269</v>
      </c>
      <c r="D98" s="24" t="s">
        <v>270</v>
      </c>
      <c r="E98" s="4">
        <v>46212</v>
      </c>
      <c r="F98" s="25" t="s">
        <v>320</v>
      </c>
    </row>
    <row r="99" spans="1:6" x14ac:dyDescent="0.35">
      <c r="A99" s="19">
        <f t="shared" si="2"/>
        <v>86</v>
      </c>
      <c r="B99" s="24" t="s">
        <v>217</v>
      </c>
      <c r="C99" s="24" t="s">
        <v>271</v>
      </c>
      <c r="D99" s="24" t="s">
        <v>272</v>
      </c>
      <c r="E99" s="4">
        <v>46212</v>
      </c>
      <c r="F99" s="25" t="s">
        <v>321</v>
      </c>
    </row>
    <row r="100" spans="1:6" x14ac:dyDescent="0.35">
      <c r="A100" s="19">
        <v>82</v>
      </c>
      <c r="B100" s="24" t="s">
        <v>217</v>
      </c>
      <c r="C100" s="24" t="s">
        <v>273</v>
      </c>
      <c r="D100" s="24" t="s">
        <v>274</v>
      </c>
      <c r="E100" s="4">
        <v>46212</v>
      </c>
      <c r="F100" s="25" t="s">
        <v>322</v>
      </c>
    </row>
    <row r="101" spans="1:6" x14ac:dyDescent="0.35">
      <c r="A101" s="19">
        <f t="shared" si="2"/>
        <v>83</v>
      </c>
      <c r="B101" s="24" t="s">
        <v>217</v>
      </c>
      <c r="C101" s="24" t="s">
        <v>275</v>
      </c>
      <c r="D101" s="24" t="s">
        <v>276</v>
      </c>
      <c r="E101" s="4">
        <v>46212</v>
      </c>
      <c r="F101" s="25" t="s">
        <v>323</v>
      </c>
    </row>
    <row r="102" spans="1:6" x14ac:dyDescent="0.35">
      <c r="A102" s="19">
        <f t="shared" si="2"/>
        <v>84</v>
      </c>
      <c r="B102" s="24" t="s">
        <v>217</v>
      </c>
      <c r="C102" s="24" t="s">
        <v>277</v>
      </c>
      <c r="D102" s="24" t="s">
        <v>278</v>
      </c>
      <c r="E102" s="4">
        <v>46212</v>
      </c>
      <c r="F102" s="25" t="s">
        <v>324</v>
      </c>
    </row>
    <row r="103" spans="1:6" x14ac:dyDescent="0.35">
      <c r="A103" s="19">
        <f t="shared" si="2"/>
        <v>85</v>
      </c>
      <c r="B103" s="24" t="s">
        <v>217</v>
      </c>
      <c r="C103" s="24" t="s">
        <v>279</v>
      </c>
      <c r="D103" s="24" t="s">
        <v>280</v>
      </c>
      <c r="E103" s="4">
        <v>46212</v>
      </c>
      <c r="F103" s="25" t="s">
        <v>325</v>
      </c>
    </row>
    <row r="104" spans="1:6" x14ac:dyDescent="0.35">
      <c r="A104" s="19">
        <f t="shared" si="2"/>
        <v>86</v>
      </c>
      <c r="B104" s="24" t="s">
        <v>217</v>
      </c>
      <c r="C104" s="24" t="s">
        <v>281</v>
      </c>
      <c r="D104" s="24" t="s">
        <v>282</v>
      </c>
      <c r="E104" s="4">
        <v>46315</v>
      </c>
      <c r="F104" s="30" t="s">
        <v>326</v>
      </c>
    </row>
    <row r="105" spans="1:6" x14ac:dyDescent="0.35">
      <c r="A105" s="19">
        <f t="shared" si="2"/>
        <v>87</v>
      </c>
      <c r="B105" s="24" t="s">
        <v>217</v>
      </c>
      <c r="C105" s="24" t="s">
        <v>283</v>
      </c>
      <c r="D105" s="24" t="s">
        <v>284</v>
      </c>
      <c r="E105" s="4">
        <v>46212</v>
      </c>
      <c r="F105" s="25" t="s">
        <v>327</v>
      </c>
    </row>
    <row r="106" spans="1:6" x14ac:dyDescent="0.35">
      <c r="A106" s="19">
        <v>83</v>
      </c>
      <c r="B106" s="24" t="s">
        <v>217</v>
      </c>
      <c r="C106" s="24" t="s">
        <v>285</v>
      </c>
      <c r="D106" s="24" t="s">
        <v>286</v>
      </c>
      <c r="E106" s="4">
        <v>46317</v>
      </c>
      <c r="F106" s="30" t="s">
        <v>328</v>
      </c>
    </row>
    <row r="107" spans="1:6" x14ac:dyDescent="0.35">
      <c r="A107" s="19">
        <f t="shared" si="2"/>
        <v>84</v>
      </c>
      <c r="B107" s="24" t="s">
        <v>217</v>
      </c>
      <c r="C107" s="24" t="s">
        <v>287</v>
      </c>
      <c r="D107" s="24" t="s">
        <v>288</v>
      </c>
      <c r="E107" s="4">
        <v>46315</v>
      </c>
      <c r="F107" s="30" t="s">
        <v>329</v>
      </c>
    </row>
    <row r="108" spans="1:6" x14ac:dyDescent="0.35">
      <c r="A108" s="19">
        <f t="shared" si="2"/>
        <v>85</v>
      </c>
      <c r="B108" s="24" t="s">
        <v>217</v>
      </c>
      <c r="C108" s="24" t="s">
        <v>289</v>
      </c>
      <c r="D108" s="24" t="s">
        <v>290</v>
      </c>
      <c r="E108" s="4">
        <v>46317</v>
      </c>
      <c r="F108" s="30" t="s">
        <v>330</v>
      </c>
    </row>
    <row r="109" spans="1:6" x14ac:dyDescent="0.35">
      <c r="A109" s="19">
        <f t="shared" si="2"/>
        <v>86</v>
      </c>
      <c r="B109" s="24" t="s">
        <v>217</v>
      </c>
      <c r="C109" s="24" t="s">
        <v>291</v>
      </c>
      <c r="D109" s="24" t="s">
        <v>292</v>
      </c>
      <c r="E109" s="4">
        <v>46317</v>
      </c>
      <c r="F109" s="30" t="s">
        <v>331</v>
      </c>
    </row>
    <row r="110" spans="1:6" x14ac:dyDescent="0.35">
      <c r="A110" s="19">
        <f t="shared" si="2"/>
        <v>87</v>
      </c>
      <c r="B110" s="24" t="s">
        <v>217</v>
      </c>
      <c r="C110" s="24" t="s">
        <v>293</v>
      </c>
      <c r="D110" s="24" t="s">
        <v>294</v>
      </c>
      <c r="E110" s="4">
        <v>46318</v>
      </c>
      <c r="F110" s="30" t="s">
        <v>332</v>
      </c>
    </row>
    <row r="111" spans="1:6" x14ac:dyDescent="0.35">
      <c r="A111" s="19">
        <f t="shared" si="2"/>
        <v>88</v>
      </c>
      <c r="B111" s="24" t="s">
        <v>217</v>
      </c>
      <c r="C111" s="24" t="s">
        <v>295</v>
      </c>
      <c r="D111" s="24" t="s">
        <v>296</v>
      </c>
      <c r="E111" s="4">
        <v>46318</v>
      </c>
      <c r="F111" s="30" t="s">
        <v>333</v>
      </c>
    </row>
    <row r="112" spans="1:6" x14ac:dyDescent="0.35">
      <c r="A112" s="19">
        <v>84</v>
      </c>
      <c r="B112" s="24" t="s">
        <v>217</v>
      </c>
      <c r="C112" s="24" t="s">
        <v>297</v>
      </c>
      <c r="D112" s="24" t="s">
        <v>298</v>
      </c>
      <c r="E112" s="4">
        <v>46315</v>
      </c>
      <c r="F112" s="30" t="s">
        <v>334</v>
      </c>
    </row>
    <row r="113" spans="1:6" x14ac:dyDescent="0.35">
      <c r="A113" s="19">
        <f t="shared" si="2"/>
        <v>85</v>
      </c>
      <c r="B113" s="24" t="s">
        <v>4</v>
      </c>
      <c r="C113" s="24" t="s">
        <v>299</v>
      </c>
      <c r="D113" s="24" t="s">
        <v>300</v>
      </c>
      <c r="E113" s="4">
        <v>46212</v>
      </c>
      <c r="F113" s="5" t="s">
        <v>335</v>
      </c>
    </row>
    <row r="114" spans="1:6" x14ac:dyDescent="0.35">
      <c r="A114" s="19">
        <f t="shared" si="2"/>
        <v>86</v>
      </c>
      <c r="B114" s="24" t="s">
        <v>4</v>
      </c>
      <c r="C114" s="24" t="s">
        <v>301</v>
      </c>
      <c r="D114" s="24" t="s">
        <v>302</v>
      </c>
      <c r="E114" s="4">
        <v>46212</v>
      </c>
      <c r="F114" s="5" t="s">
        <v>336</v>
      </c>
    </row>
    <row r="115" spans="1:6" x14ac:dyDescent="0.35">
      <c r="A115" s="19">
        <f t="shared" si="2"/>
        <v>87</v>
      </c>
      <c r="B115" s="24" t="s">
        <v>4</v>
      </c>
      <c r="C115" s="24" t="s">
        <v>303</v>
      </c>
      <c r="D115" s="24" t="s">
        <v>304</v>
      </c>
      <c r="E115" s="4">
        <v>46212</v>
      </c>
      <c r="F115" s="5" t="s">
        <v>337</v>
      </c>
    </row>
    <row r="116" spans="1:6" x14ac:dyDescent="0.35">
      <c r="A116" s="19">
        <v>88</v>
      </c>
      <c r="B116" s="19" t="s">
        <v>339</v>
      </c>
      <c r="C116" s="19" t="s">
        <v>340</v>
      </c>
      <c r="D116" s="19" t="s">
        <v>341</v>
      </c>
      <c r="E116" s="26">
        <v>46197</v>
      </c>
      <c r="F116" s="5" t="s">
        <v>234</v>
      </c>
    </row>
    <row r="117" spans="1:6" x14ac:dyDescent="0.35">
      <c r="A117" s="19">
        <f t="shared" si="2"/>
        <v>89</v>
      </c>
      <c r="B117" s="19" t="s">
        <v>7</v>
      </c>
      <c r="C117" s="19" t="s">
        <v>342</v>
      </c>
      <c r="D117" s="19" t="s">
        <v>343</v>
      </c>
      <c r="E117" s="26">
        <v>46265</v>
      </c>
      <c r="F117" s="5" t="s">
        <v>344</v>
      </c>
    </row>
    <row r="118" spans="1:6" x14ac:dyDescent="0.35">
      <c r="A118" s="19">
        <v>90</v>
      </c>
      <c r="B118" s="19" t="s">
        <v>354</v>
      </c>
      <c r="C118" s="19" t="s">
        <v>346</v>
      </c>
      <c r="D118" s="19" t="s">
        <v>345</v>
      </c>
      <c r="E118" s="26">
        <v>46290</v>
      </c>
      <c r="F118" s="5" t="s">
        <v>350</v>
      </c>
    </row>
    <row r="119" spans="1:6" x14ac:dyDescent="0.35">
      <c r="A119" s="19">
        <f t="shared" si="2"/>
        <v>91</v>
      </c>
      <c r="B119" s="19" t="s">
        <v>354</v>
      </c>
      <c r="C119" s="19" t="s">
        <v>347</v>
      </c>
      <c r="D119" s="19" t="s">
        <v>348</v>
      </c>
      <c r="E119" s="26">
        <v>46290</v>
      </c>
      <c r="F119" s="5" t="s">
        <v>349</v>
      </c>
    </row>
    <row r="120" spans="1:6" x14ac:dyDescent="0.35">
      <c r="A120" s="19">
        <v>92</v>
      </c>
      <c r="B120" s="19" t="s">
        <v>354</v>
      </c>
      <c r="C120" s="19" t="s">
        <v>351</v>
      </c>
      <c r="D120" s="19" t="s">
        <v>352</v>
      </c>
      <c r="E120" s="26">
        <v>46290</v>
      </c>
      <c r="F120" s="5" t="s">
        <v>353</v>
      </c>
    </row>
    <row r="121" spans="1:6" x14ac:dyDescent="0.35">
      <c r="A121" s="19">
        <v>93</v>
      </c>
      <c r="B121" s="19" t="s">
        <v>354</v>
      </c>
      <c r="C121" s="19" t="s">
        <v>357</v>
      </c>
      <c r="D121" s="19" t="s">
        <v>355</v>
      </c>
      <c r="E121" s="26">
        <v>46291</v>
      </c>
      <c r="F121" s="5" t="s">
        <v>356</v>
      </c>
    </row>
    <row r="122" spans="1:6" x14ac:dyDescent="0.35">
      <c r="A122" s="19">
        <v>94</v>
      </c>
      <c r="B122" s="19" t="s">
        <v>354</v>
      </c>
      <c r="C122" s="19" t="s">
        <v>359</v>
      </c>
      <c r="D122" s="19" t="s">
        <v>358</v>
      </c>
      <c r="E122" s="26">
        <v>46291</v>
      </c>
      <c r="F122" s="5" t="s">
        <v>360</v>
      </c>
    </row>
    <row r="123" spans="1:6" x14ac:dyDescent="0.35">
      <c r="A123" s="19">
        <v>95</v>
      </c>
      <c r="B123" s="19" t="s">
        <v>354</v>
      </c>
      <c r="C123" s="19" t="s">
        <v>361</v>
      </c>
      <c r="D123" s="19" t="s">
        <v>362</v>
      </c>
      <c r="E123" s="26">
        <v>46291</v>
      </c>
      <c r="F123" s="5" t="s">
        <v>363</v>
      </c>
    </row>
    <row r="124" spans="1:6" x14ac:dyDescent="0.35">
      <c r="A124" s="19">
        <v>96</v>
      </c>
      <c r="B124" s="28" t="s">
        <v>354</v>
      </c>
      <c r="C124" s="28" t="s">
        <v>364</v>
      </c>
      <c r="D124" s="28" t="s">
        <v>365</v>
      </c>
      <c r="E124" s="29">
        <v>46302</v>
      </c>
      <c r="F124" s="27" t="s">
        <v>366</v>
      </c>
    </row>
    <row r="125" spans="1:6" x14ac:dyDescent="0.35">
      <c r="A125" s="19">
        <v>97</v>
      </c>
      <c r="B125" s="19" t="s">
        <v>7</v>
      </c>
      <c r="C125" s="19" t="s">
        <v>367</v>
      </c>
      <c r="D125" s="19" t="s">
        <v>368</v>
      </c>
      <c r="E125" s="26">
        <v>46317</v>
      </c>
      <c r="F125" s="5" t="s">
        <v>370</v>
      </c>
    </row>
    <row r="126" spans="1:6" x14ac:dyDescent="0.35">
      <c r="A126" s="19">
        <v>98</v>
      </c>
      <c r="B126" s="24" t="s">
        <v>217</v>
      </c>
      <c r="C126" s="19" t="s">
        <v>369</v>
      </c>
      <c r="D126" s="19" t="s">
        <v>371</v>
      </c>
      <c r="E126" s="26">
        <v>46317</v>
      </c>
      <c r="F126" s="5" t="s">
        <v>372</v>
      </c>
    </row>
  </sheetData>
  <autoFilter ref="A1:F126" xr:uid="{C0933A7F-4C29-4A64-8B36-B4F9E885B333}"/>
  <conditionalFormatting sqref="D83:D126">
    <cfRule type="duplicateValues" dxfId="1" priority="6"/>
    <cfRule type="duplicateValues" dxfId="0" priority="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B88A-C9C3-47FD-BB4D-39DF868892A8}">
  <dimension ref="A1:B1"/>
  <sheetViews>
    <sheetView tabSelected="1" workbookViewId="0"/>
  </sheetViews>
  <sheetFormatPr defaultRowHeight="14.5" x14ac:dyDescent="0.35"/>
  <cols>
    <col min="1" max="1" width="13" bestFit="1" customWidth="1"/>
    <col min="2" max="2" width="13.81640625" bestFit="1" customWidth="1"/>
  </cols>
  <sheetData>
    <row r="1" spans="1:2" x14ac:dyDescent="0.35">
      <c r="A1" s="1" t="s">
        <v>158</v>
      </c>
      <c r="B1" s="1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</vt:lpstr>
      <vt:lpstr>KODE_RESTO</vt:lpstr>
      <vt:lpstr>RESTO</vt:lpstr>
      <vt:lpstr>EXCLUDE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Feri Firmansah</cp:lastModifiedBy>
  <dcterms:created xsi:type="dcterms:W3CDTF">2026-05-18T09:15:02Z</dcterms:created>
  <dcterms:modified xsi:type="dcterms:W3CDTF">2026-10-22T14:40:32Z</dcterms:modified>
</cp:coreProperties>
</file>